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Config" sheetId="2" state="visible" r:id="rId2"/>
    <sheet name="Sell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color rgb="000000FF"/>
      <sz val="10"/>
    </font>
    <font>
      <name val="Arial"/>
      <color rgb="00666666"/>
      <sz val="10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A143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LlaveCorp</author>
  </authors>
  <commentList>
    <comment ref="J1" authorId="0" shapeId="0">
      <text>
        <t>Fórmula: 1 si Tipo = Venta y Origen = Página; si no, 0.</t>
      </text>
    </comment>
    <comment ref="A2" authorId="0" shapeId="0">
      <text>
        <t>Filas de ejemplo: bórralas cuando empieces a capturar.</t>
      </text>
    </comment>
  </commentList>
</comments>
</file>

<file path=xl/comments/comment2.xml><?xml version="1.0" encoding="utf-8"?>
<comments xmlns="http://schemas.openxmlformats.org/spreadsheetml/2006/main">
  <authors>
    <author>LlaveCorp</author>
  </authors>
  <commentList>
    <comment ref="A1" authorId="0" shapeId="0">
      <text>
        <t>Escribe aquí una vez el WhatsApp de cada cliente (igual que en Pedidos). El resto se calcula.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6" customWidth="1" min="4" max="4"/>
    <col width="26" customWidth="1" min="5" max="5"/>
    <col width="8" customWidth="1" min="6" max="6"/>
    <col width="10" customWidth="1" style="1" min="7" max="7"/>
    <col width="20" customWidth="1" min="8" max="8"/>
    <col width="11" customWidth="1" min="9" max="9"/>
    <col width="7" customWidth="1" min="10" max="10"/>
  </cols>
  <sheetData>
    <row r="1">
      <c r="A1" s="2" t="inlineStr">
        <is>
          <t>Fecha</t>
        </is>
      </c>
      <c r="B1" s="2" t="inlineStr">
        <is>
          <t>WhatsApp</t>
        </is>
      </c>
      <c r="C1" s="2" t="inlineStr">
        <is>
          <t>Nombre</t>
        </is>
      </c>
      <c r="D1" s="2" t="inlineStr">
        <is>
          <t>Tipo</t>
        </is>
      </c>
      <c r="E1" s="2" t="inlineStr">
        <is>
          <t>Producto</t>
        </is>
      </c>
      <c r="F1" s="2" t="inlineStr">
        <is>
          <t>Piezas</t>
        </is>
      </c>
      <c r="G1" s="2" t="inlineStr">
        <is>
          <t>Total ($)</t>
        </is>
      </c>
      <c r="H1" s="2" t="inlineStr">
        <is>
          <t>Entrega</t>
        </is>
      </c>
      <c r="I1" s="2" t="inlineStr">
        <is>
          <t>Origen</t>
        </is>
      </c>
      <c r="J1" s="2" t="inlineStr">
        <is>
          <t>Sello</t>
        </is>
      </c>
    </row>
    <row r="2">
      <c r="A2" s="3" t="inlineStr">
        <is>
          <t>2026-10-03</t>
        </is>
      </c>
      <c r="B2" s="3" t="inlineStr">
        <is>
          <t>528112345678</t>
        </is>
      </c>
      <c r="C2" s="3" t="inlineStr">
        <is>
          <t>Ana</t>
        </is>
      </c>
      <c r="D2" s="3" t="inlineStr">
        <is>
          <t>Venta</t>
        </is>
      </c>
      <c r="E2" s="3" t="inlineStr">
        <is>
          <t>Casete (con NFC)</t>
        </is>
      </c>
      <c r="F2" s="3" t="n">
        <v>1</v>
      </c>
      <c r="G2" s="4" t="n">
        <v>110</v>
      </c>
      <c r="H2" s="3" t="inlineStr">
        <is>
          <t>Soriana Colosio</t>
        </is>
      </c>
      <c r="I2" s="3" t="inlineStr">
        <is>
          <t>Página</t>
        </is>
      </c>
      <c r="J2" s="5">
        <f>IF(AND(D2="Venta",I2="Página"),1,0)</f>
        <v/>
      </c>
    </row>
    <row r="3">
      <c r="A3" s="3" t="inlineStr">
        <is>
          <t>2026-10-10</t>
        </is>
      </c>
      <c r="B3" s="3" t="inlineStr">
        <is>
          <t>528112345678</t>
        </is>
      </c>
      <c r="C3" s="3" t="inlineStr">
        <is>
          <t>Ana</t>
        </is>
      </c>
      <c r="D3" s="3" t="inlineStr">
        <is>
          <t>Venta</t>
        </is>
      </c>
      <c r="E3" s="3" t="inlineStr">
        <is>
          <t>Cartucho 8 bits</t>
        </is>
      </c>
      <c r="F3" s="3" t="n">
        <v>2</v>
      </c>
      <c r="G3" s="4" t="n">
        <v>150</v>
      </c>
      <c r="H3" s="3" t="inlineStr">
        <is>
          <t>Cruz Roja</t>
        </is>
      </c>
      <c r="I3" s="3" t="inlineStr">
        <is>
          <t>Página</t>
        </is>
      </c>
      <c r="J3" s="5">
        <f>IF(AND(D3="Venta",I3="Página"),1,0)</f>
        <v/>
      </c>
    </row>
    <row r="4">
      <c r="A4" s="3" t="inlineStr">
        <is>
          <t>2026-10-11</t>
        </is>
      </c>
      <c r="B4" s="3" t="inlineStr">
        <is>
          <t>528187654321</t>
        </is>
      </c>
      <c r="C4" s="3" t="inlineStr">
        <is>
          <t>Luis</t>
        </is>
      </c>
      <c r="D4" s="3" t="inlineStr">
        <is>
          <t>Venta</t>
        </is>
      </c>
      <c r="E4" s="3" t="inlineStr">
        <is>
          <t>Onigiri</t>
        </is>
      </c>
      <c r="F4" s="3" t="n">
        <v>1</v>
      </c>
      <c r="G4" s="4" t="n">
        <v>60</v>
      </c>
      <c r="H4" s="3" t="inlineStr">
        <is>
          <t>Tianguis</t>
        </is>
      </c>
      <c r="I4" s="3" t="inlineStr">
        <is>
          <t>Tianguis</t>
        </is>
      </c>
      <c r="J4" s="5">
        <f>IF(AND(D4="Venta",I4="Página"),1,0)</f>
        <v/>
      </c>
    </row>
    <row r="5">
      <c r="A5" s="3" t="n"/>
      <c r="B5" s="3" t="n"/>
      <c r="C5" s="3" t="n"/>
      <c r="D5" s="3" t="n"/>
      <c r="E5" s="3" t="n"/>
      <c r="F5" s="3" t="n"/>
      <c r="G5" s="4" t="n"/>
      <c r="H5" s="3" t="n"/>
      <c r="I5" s="3" t="n"/>
      <c r="J5" s="5">
        <f>IF(AND(D5="Venta",I5="Página"),1,0)</f>
        <v/>
      </c>
    </row>
    <row r="6">
      <c r="A6" s="3" t="n"/>
      <c r="B6" s="3" t="n"/>
      <c r="C6" s="3" t="n"/>
      <c r="D6" s="3" t="n"/>
      <c r="E6" s="3" t="n"/>
      <c r="F6" s="3" t="n"/>
      <c r="G6" s="4" t="n"/>
      <c r="H6" s="3" t="n"/>
      <c r="I6" s="3" t="n"/>
      <c r="J6" s="5">
        <f>IF(AND(D6="Venta",I6="Página"),1,0)</f>
        <v/>
      </c>
    </row>
    <row r="7">
      <c r="A7" s="3" t="n"/>
      <c r="B7" s="3" t="n"/>
      <c r="C7" s="3" t="n"/>
      <c r="D7" s="3" t="n"/>
      <c r="E7" s="3" t="n"/>
      <c r="F7" s="3" t="n"/>
      <c r="G7" s="4" t="n"/>
      <c r="H7" s="3" t="n"/>
      <c r="I7" s="3" t="n"/>
      <c r="J7" s="5">
        <f>IF(AND(D7="Venta",I7="Página"),1,0)</f>
        <v/>
      </c>
    </row>
    <row r="8">
      <c r="A8" s="3" t="n"/>
      <c r="B8" s="3" t="n"/>
      <c r="C8" s="3" t="n"/>
      <c r="D8" s="3" t="n"/>
      <c r="E8" s="3" t="n"/>
      <c r="F8" s="3" t="n"/>
      <c r="G8" s="4" t="n"/>
      <c r="H8" s="3" t="n"/>
      <c r="I8" s="3" t="n"/>
      <c r="J8" s="5">
        <f>IF(AND(D8="Venta",I8="Página"),1,0)</f>
        <v/>
      </c>
    </row>
    <row r="9">
      <c r="A9" s="3" t="n"/>
      <c r="B9" s="3" t="n"/>
      <c r="C9" s="3" t="n"/>
      <c r="D9" s="3" t="n"/>
      <c r="E9" s="3" t="n"/>
      <c r="F9" s="3" t="n"/>
      <c r="G9" s="4" t="n"/>
      <c r="H9" s="3" t="n"/>
      <c r="I9" s="3" t="n"/>
      <c r="J9" s="5">
        <f>IF(AND(D9="Venta",I9="Página"),1,0)</f>
        <v/>
      </c>
    </row>
    <row r="10">
      <c r="A10" s="3" t="n"/>
      <c r="B10" s="3" t="n"/>
      <c r="C10" s="3" t="n"/>
      <c r="D10" s="3" t="n"/>
      <c r="E10" s="3" t="n"/>
      <c r="F10" s="3" t="n"/>
      <c r="G10" s="4" t="n"/>
      <c r="H10" s="3" t="n"/>
      <c r="I10" s="3" t="n"/>
      <c r="J10" s="5">
        <f>IF(AND(D10="Venta",I10="Página"),1,0)</f>
        <v/>
      </c>
    </row>
    <row r="11">
      <c r="A11" s="3" t="n"/>
      <c r="B11" s="3" t="n"/>
      <c r="C11" s="3" t="n"/>
      <c r="D11" s="3" t="n"/>
      <c r="E11" s="3" t="n"/>
      <c r="F11" s="3" t="n"/>
      <c r="G11" s="4" t="n"/>
      <c r="H11" s="3" t="n"/>
      <c r="I11" s="3" t="n"/>
      <c r="J11" s="5">
        <f>IF(AND(D11="Venta",I11="Página"),1,0)</f>
        <v/>
      </c>
    </row>
    <row r="12">
      <c r="A12" s="3" t="n"/>
      <c r="B12" s="3" t="n"/>
      <c r="C12" s="3" t="n"/>
      <c r="D12" s="3" t="n"/>
      <c r="E12" s="3" t="n"/>
      <c r="F12" s="3" t="n"/>
      <c r="G12" s="4" t="n"/>
      <c r="H12" s="3" t="n"/>
      <c r="I12" s="3" t="n"/>
      <c r="J12" s="5">
        <f>IF(AND(D12="Venta",I12="Página"),1,0)</f>
        <v/>
      </c>
    </row>
    <row r="13">
      <c r="A13" s="3" t="n"/>
      <c r="B13" s="3" t="n"/>
      <c r="C13" s="3" t="n"/>
      <c r="D13" s="3" t="n"/>
      <c r="E13" s="3" t="n"/>
      <c r="F13" s="3" t="n"/>
      <c r="G13" s="4" t="n"/>
      <c r="H13" s="3" t="n"/>
      <c r="I13" s="3" t="n"/>
      <c r="J13" s="5">
        <f>IF(AND(D13="Venta",I13="Página"),1,0)</f>
        <v/>
      </c>
    </row>
    <row r="14">
      <c r="A14" s="3" t="n"/>
      <c r="B14" s="3" t="n"/>
      <c r="C14" s="3" t="n"/>
      <c r="D14" s="3" t="n"/>
      <c r="E14" s="3" t="n"/>
      <c r="F14" s="3" t="n"/>
      <c r="G14" s="4" t="n"/>
      <c r="H14" s="3" t="n"/>
      <c r="I14" s="3" t="n"/>
      <c r="J14" s="5">
        <f>IF(AND(D14="Venta",I14="Página"),1,0)</f>
        <v/>
      </c>
    </row>
    <row r="15">
      <c r="A15" s="3" t="n"/>
      <c r="B15" s="3" t="n"/>
      <c r="C15" s="3" t="n"/>
      <c r="D15" s="3" t="n"/>
      <c r="E15" s="3" t="n"/>
      <c r="F15" s="3" t="n"/>
      <c r="G15" s="4" t="n"/>
      <c r="H15" s="3" t="n"/>
      <c r="I15" s="3" t="n"/>
      <c r="J15" s="5">
        <f>IF(AND(D15="Venta",I15="Página"),1,0)</f>
        <v/>
      </c>
    </row>
    <row r="16">
      <c r="A16" s="3" t="n"/>
      <c r="B16" s="3" t="n"/>
      <c r="C16" s="3" t="n"/>
      <c r="D16" s="3" t="n"/>
      <c r="E16" s="3" t="n"/>
      <c r="F16" s="3" t="n"/>
      <c r="G16" s="4" t="n"/>
      <c r="H16" s="3" t="n"/>
      <c r="I16" s="3" t="n"/>
      <c r="J16" s="5">
        <f>IF(AND(D16="Venta",I16="Página"),1,0)</f>
        <v/>
      </c>
    </row>
    <row r="17">
      <c r="A17" s="3" t="n"/>
      <c r="B17" s="3" t="n"/>
      <c r="C17" s="3" t="n"/>
      <c r="D17" s="3" t="n"/>
      <c r="E17" s="3" t="n"/>
      <c r="F17" s="3" t="n"/>
      <c r="G17" s="4" t="n"/>
      <c r="H17" s="3" t="n"/>
      <c r="I17" s="3" t="n"/>
      <c r="J17" s="5">
        <f>IF(AND(D17="Venta",I17="Página"),1,0)</f>
        <v/>
      </c>
    </row>
    <row r="18">
      <c r="A18" s="3" t="n"/>
      <c r="B18" s="3" t="n"/>
      <c r="C18" s="3" t="n"/>
      <c r="D18" s="3" t="n"/>
      <c r="E18" s="3" t="n"/>
      <c r="F18" s="3" t="n"/>
      <c r="G18" s="4" t="n"/>
      <c r="H18" s="3" t="n"/>
      <c r="I18" s="3" t="n"/>
      <c r="J18" s="5">
        <f>IF(AND(D18="Venta",I18="Página"),1,0)</f>
        <v/>
      </c>
    </row>
    <row r="19">
      <c r="A19" s="3" t="n"/>
      <c r="B19" s="3" t="n"/>
      <c r="C19" s="3" t="n"/>
      <c r="D19" s="3" t="n"/>
      <c r="E19" s="3" t="n"/>
      <c r="F19" s="3" t="n"/>
      <c r="G19" s="4" t="n"/>
      <c r="H19" s="3" t="n"/>
      <c r="I19" s="3" t="n"/>
      <c r="J19" s="5">
        <f>IF(AND(D19="Venta",I19="Página"),1,0)</f>
        <v/>
      </c>
    </row>
    <row r="20">
      <c r="A20" s="3" t="n"/>
      <c r="B20" s="3" t="n"/>
      <c r="C20" s="3" t="n"/>
      <c r="D20" s="3" t="n"/>
      <c r="E20" s="3" t="n"/>
      <c r="F20" s="3" t="n"/>
      <c r="G20" s="4" t="n"/>
      <c r="H20" s="3" t="n"/>
      <c r="I20" s="3" t="n"/>
      <c r="J20" s="5">
        <f>IF(AND(D20="Venta",I20="Página"),1,0)</f>
        <v/>
      </c>
    </row>
    <row r="21">
      <c r="A21" s="3" t="n"/>
      <c r="B21" s="3" t="n"/>
      <c r="C21" s="3" t="n"/>
      <c r="D21" s="3" t="n"/>
      <c r="E21" s="3" t="n"/>
      <c r="F21" s="3" t="n"/>
      <c r="G21" s="4" t="n"/>
      <c r="H21" s="3" t="n"/>
      <c r="I21" s="3" t="n"/>
      <c r="J21" s="5">
        <f>IF(AND(D21="Venta",I21="Página"),1,0)</f>
        <v/>
      </c>
    </row>
    <row r="22">
      <c r="A22" s="3" t="n"/>
      <c r="B22" s="3" t="n"/>
      <c r="C22" s="3" t="n"/>
      <c r="D22" s="3" t="n"/>
      <c r="E22" s="3" t="n"/>
      <c r="F22" s="3" t="n"/>
      <c r="G22" s="4" t="n"/>
      <c r="H22" s="3" t="n"/>
      <c r="I22" s="3" t="n"/>
      <c r="J22" s="5">
        <f>IF(AND(D22="Venta",I22="Página"),1,0)</f>
        <v/>
      </c>
    </row>
    <row r="23">
      <c r="A23" s="3" t="n"/>
      <c r="B23" s="3" t="n"/>
      <c r="C23" s="3" t="n"/>
      <c r="D23" s="3" t="n"/>
      <c r="E23" s="3" t="n"/>
      <c r="F23" s="3" t="n"/>
      <c r="G23" s="4" t="n"/>
      <c r="H23" s="3" t="n"/>
      <c r="I23" s="3" t="n"/>
      <c r="J23" s="5">
        <f>IF(AND(D23="Venta",I23="Página"),1,0)</f>
        <v/>
      </c>
    </row>
    <row r="24">
      <c r="A24" s="3" t="n"/>
      <c r="B24" s="3" t="n"/>
      <c r="C24" s="3" t="n"/>
      <c r="D24" s="3" t="n"/>
      <c r="E24" s="3" t="n"/>
      <c r="F24" s="3" t="n"/>
      <c r="G24" s="4" t="n"/>
      <c r="H24" s="3" t="n"/>
      <c r="I24" s="3" t="n"/>
      <c r="J24" s="5">
        <f>IF(AND(D24="Venta",I24="Página"),1,0)</f>
        <v/>
      </c>
    </row>
    <row r="25">
      <c r="A25" s="3" t="n"/>
      <c r="B25" s="3" t="n"/>
      <c r="C25" s="3" t="n"/>
      <c r="D25" s="3" t="n"/>
      <c r="E25" s="3" t="n"/>
      <c r="F25" s="3" t="n"/>
      <c r="G25" s="4" t="n"/>
      <c r="H25" s="3" t="n"/>
      <c r="I25" s="3" t="n"/>
      <c r="J25" s="5">
        <f>IF(AND(D25="Venta",I25="Página"),1,0)</f>
        <v/>
      </c>
    </row>
    <row r="26">
      <c r="A26" s="3" t="n"/>
      <c r="B26" s="3" t="n"/>
      <c r="C26" s="3" t="n"/>
      <c r="D26" s="3" t="n"/>
      <c r="E26" s="3" t="n"/>
      <c r="F26" s="3" t="n"/>
      <c r="G26" s="4" t="n"/>
      <c r="H26" s="3" t="n"/>
      <c r="I26" s="3" t="n"/>
      <c r="J26" s="5">
        <f>IF(AND(D26="Venta",I26="Página"),1,0)</f>
        <v/>
      </c>
    </row>
    <row r="27">
      <c r="A27" s="3" t="n"/>
      <c r="B27" s="3" t="n"/>
      <c r="C27" s="3" t="n"/>
      <c r="D27" s="3" t="n"/>
      <c r="E27" s="3" t="n"/>
      <c r="F27" s="3" t="n"/>
      <c r="G27" s="4" t="n"/>
      <c r="H27" s="3" t="n"/>
      <c r="I27" s="3" t="n"/>
      <c r="J27" s="5">
        <f>IF(AND(D27="Venta",I27="Página"),1,0)</f>
        <v/>
      </c>
    </row>
    <row r="28">
      <c r="A28" s="3" t="n"/>
      <c r="B28" s="3" t="n"/>
      <c r="C28" s="3" t="n"/>
      <c r="D28" s="3" t="n"/>
      <c r="E28" s="3" t="n"/>
      <c r="F28" s="3" t="n"/>
      <c r="G28" s="4" t="n"/>
      <c r="H28" s="3" t="n"/>
      <c r="I28" s="3" t="n"/>
      <c r="J28" s="5">
        <f>IF(AND(D28="Venta",I28="Página"),1,0)</f>
        <v/>
      </c>
    </row>
    <row r="29">
      <c r="A29" s="3" t="n"/>
      <c r="B29" s="3" t="n"/>
      <c r="C29" s="3" t="n"/>
      <c r="D29" s="3" t="n"/>
      <c r="E29" s="3" t="n"/>
      <c r="F29" s="3" t="n"/>
      <c r="G29" s="4" t="n"/>
      <c r="H29" s="3" t="n"/>
      <c r="I29" s="3" t="n"/>
      <c r="J29" s="5">
        <f>IF(AND(D29="Venta",I29="Página"),1,0)</f>
        <v/>
      </c>
    </row>
    <row r="30">
      <c r="A30" s="3" t="n"/>
      <c r="B30" s="3" t="n"/>
      <c r="C30" s="3" t="n"/>
      <c r="D30" s="3" t="n"/>
      <c r="E30" s="3" t="n"/>
      <c r="F30" s="3" t="n"/>
      <c r="G30" s="4" t="n"/>
      <c r="H30" s="3" t="n"/>
      <c r="I30" s="3" t="n"/>
      <c r="J30" s="5">
        <f>IF(AND(D30="Venta",I30="Página"),1,0)</f>
        <v/>
      </c>
    </row>
    <row r="31">
      <c r="A31" s="3" t="n"/>
      <c r="B31" s="3" t="n"/>
      <c r="C31" s="3" t="n"/>
      <c r="D31" s="3" t="n"/>
      <c r="E31" s="3" t="n"/>
      <c r="F31" s="3" t="n"/>
      <c r="G31" s="4" t="n"/>
      <c r="H31" s="3" t="n"/>
      <c r="I31" s="3" t="n"/>
      <c r="J31" s="5">
        <f>IF(AND(D31="Venta",I31="Página"),1,0)</f>
        <v/>
      </c>
    </row>
    <row r="32">
      <c r="A32" s="3" t="n"/>
      <c r="B32" s="3" t="n"/>
      <c r="C32" s="3" t="n"/>
      <c r="D32" s="3" t="n"/>
      <c r="E32" s="3" t="n"/>
      <c r="F32" s="3" t="n"/>
      <c r="G32" s="4" t="n"/>
      <c r="H32" s="3" t="n"/>
      <c r="I32" s="3" t="n"/>
      <c r="J32" s="5">
        <f>IF(AND(D32="Venta",I32="Página"),1,0)</f>
        <v/>
      </c>
    </row>
    <row r="33">
      <c r="A33" s="3" t="n"/>
      <c r="B33" s="3" t="n"/>
      <c r="C33" s="3" t="n"/>
      <c r="D33" s="3" t="n"/>
      <c r="E33" s="3" t="n"/>
      <c r="F33" s="3" t="n"/>
      <c r="G33" s="4" t="n"/>
      <c r="H33" s="3" t="n"/>
      <c r="I33" s="3" t="n"/>
      <c r="J33" s="5">
        <f>IF(AND(D33="Venta",I33="Página"),1,0)</f>
        <v/>
      </c>
    </row>
    <row r="34">
      <c r="A34" s="3" t="n"/>
      <c r="B34" s="3" t="n"/>
      <c r="C34" s="3" t="n"/>
      <c r="D34" s="3" t="n"/>
      <c r="E34" s="3" t="n"/>
      <c r="F34" s="3" t="n"/>
      <c r="G34" s="4" t="n"/>
      <c r="H34" s="3" t="n"/>
      <c r="I34" s="3" t="n"/>
      <c r="J34" s="5">
        <f>IF(AND(D34="Venta",I34="Página"),1,0)</f>
        <v/>
      </c>
    </row>
    <row r="35">
      <c r="A35" s="3" t="n"/>
      <c r="B35" s="3" t="n"/>
      <c r="C35" s="3" t="n"/>
      <c r="D35" s="3" t="n"/>
      <c r="E35" s="3" t="n"/>
      <c r="F35" s="3" t="n"/>
      <c r="G35" s="4" t="n"/>
      <c r="H35" s="3" t="n"/>
      <c r="I35" s="3" t="n"/>
      <c r="J35" s="5">
        <f>IF(AND(D35="Venta",I35="Página"),1,0)</f>
        <v/>
      </c>
    </row>
    <row r="36">
      <c r="A36" s="3" t="n"/>
      <c r="B36" s="3" t="n"/>
      <c r="C36" s="3" t="n"/>
      <c r="D36" s="3" t="n"/>
      <c r="E36" s="3" t="n"/>
      <c r="F36" s="3" t="n"/>
      <c r="G36" s="4" t="n"/>
      <c r="H36" s="3" t="n"/>
      <c r="I36" s="3" t="n"/>
      <c r="J36" s="5">
        <f>IF(AND(D36="Venta",I36="Página"),1,0)</f>
        <v/>
      </c>
    </row>
    <row r="37">
      <c r="A37" s="3" t="n"/>
      <c r="B37" s="3" t="n"/>
      <c r="C37" s="3" t="n"/>
      <c r="D37" s="3" t="n"/>
      <c r="E37" s="3" t="n"/>
      <c r="F37" s="3" t="n"/>
      <c r="G37" s="4" t="n"/>
      <c r="H37" s="3" t="n"/>
      <c r="I37" s="3" t="n"/>
      <c r="J37" s="5">
        <f>IF(AND(D37="Venta",I37="Página"),1,0)</f>
        <v/>
      </c>
    </row>
    <row r="38">
      <c r="A38" s="3" t="n"/>
      <c r="B38" s="3" t="n"/>
      <c r="C38" s="3" t="n"/>
      <c r="D38" s="3" t="n"/>
      <c r="E38" s="3" t="n"/>
      <c r="F38" s="3" t="n"/>
      <c r="G38" s="4" t="n"/>
      <c r="H38" s="3" t="n"/>
      <c r="I38" s="3" t="n"/>
      <c r="J38" s="5">
        <f>IF(AND(D38="Venta",I38="Página"),1,0)</f>
        <v/>
      </c>
    </row>
    <row r="39">
      <c r="A39" s="3" t="n"/>
      <c r="B39" s="3" t="n"/>
      <c r="C39" s="3" t="n"/>
      <c r="D39" s="3" t="n"/>
      <c r="E39" s="3" t="n"/>
      <c r="F39" s="3" t="n"/>
      <c r="G39" s="4" t="n"/>
      <c r="H39" s="3" t="n"/>
      <c r="I39" s="3" t="n"/>
      <c r="J39" s="5">
        <f>IF(AND(D39="Venta",I39="Página"),1,0)</f>
        <v/>
      </c>
    </row>
    <row r="40">
      <c r="A40" s="3" t="n"/>
      <c r="B40" s="3" t="n"/>
      <c r="C40" s="3" t="n"/>
      <c r="D40" s="3" t="n"/>
      <c r="E40" s="3" t="n"/>
      <c r="F40" s="3" t="n"/>
      <c r="G40" s="4" t="n"/>
      <c r="H40" s="3" t="n"/>
      <c r="I40" s="3" t="n"/>
      <c r="J40" s="5">
        <f>IF(AND(D40="Venta",I40="Página"),1,0)</f>
        <v/>
      </c>
    </row>
    <row r="41">
      <c r="A41" s="3" t="n"/>
      <c r="B41" s="3" t="n"/>
      <c r="C41" s="3" t="n"/>
      <c r="D41" s="3" t="n"/>
      <c r="E41" s="3" t="n"/>
      <c r="F41" s="3" t="n"/>
      <c r="G41" s="4" t="n"/>
      <c r="H41" s="3" t="n"/>
      <c r="I41" s="3" t="n"/>
      <c r="J41" s="5">
        <f>IF(AND(D41="Venta",I41="Página"),1,0)</f>
        <v/>
      </c>
    </row>
    <row r="42">
      <c r="A42" s="3" t="n"/>
      <c r="B42" s="3" t="n"/>
      <c r="C42" s="3" t="n"/>
      <c r="D42" s="3" t="n"/>
      <c r="E42" s="3" t="n"/>
      <c r="F42" s="3" t="n"/>
      <c r="G42" s="4" t="n"/>
      <c r="H42" s="3" t="n"/>
      <c r="I42" s="3" t="n"/>
      <c r="J42" s="5">
        <f>IF(AND(D42="Venta",I42="Página"),1,0)</f>
        <v/>
      </c>
    </row>
    <row r="43">
      <c r="A43" s="3" t="n"/>
      <c r="B43" s="3" t="n"/>
      <c r="C43" s="3" t="n"/>
      <c r="D43" s="3" t="n"/>
      <c r="E43" s="3" t="n"/>
      <c r="F43" s="3" t="n"/>
      <c r="G43" s="4" t="n"/>
      <c r="H43" s="3" t="n"/>
      <c r="I43" s="3" t="n"/>
      <c r="J43" s="5">
        <f>IF(AND(D43="Venta",I43="Página"),1,0)</f>
        <v/>
      </c>
    </row>
    <row r="44">
      <c r="A44" s="3" t="n"/>
      <c r="B44" s="3" t="n"/>
      <c r="C44" s="3" t="n"/>
      <c r="D44" s="3" t="n"/>
      <c r="E44" s="3" t="n"/>
      <c r="F44" s="3" t="n"/>
      <c r="G44" s="4" t="n"/>
      <c r="H44" s="3" t="n"/>
      <c r="I44" s="3" t="n"/>
      <c r="J44" s="5">
        <f>IF(AND(D44="Venta",I44="Página"),1,0)</f>
        <v/>
      </c>
    </row>
    <row r="45">
      <c r="A45" s="3" t="n"/>
      <c r="B45" s="3" t="n"/>
      <c r="C45" s="3" t="n"/>
      <c r="D45" s="3" t="n"/>
      <c r="E45" s="3" t="n"/>
      <c r="F45" s="3" t="n"/>
      <c r="G45" s="4" t="n"/>
      <c r="H45" s="3" t="n"/>
      <c r="I45" s="3" t="n"/>
      <c r="J45" s="5">
        <f>IF(AND(D45="Venta",I45="Página"),1,0)</f>
        <v/>
      </c>
    </row>
    <row r="46">
      <c r="A46" s="3" t="n"/>
      <c r="B46" s="3" t="n"/>
      <c r="C46" s="3" t="n"/>
      <c r="D46" s="3" t="n"/>
      <c r="E46" s="3" t="n"/>
      <c r="F46" s="3" t="n"/>
      <c r="G46" s="4" t="n"/>
      <c r="H46" s="3" t="n"/>
      <c r="I46" s="3" t="n"/>
      <c r="J46" s="5">
        <f>IF(AND(D46="Venta",I46="Página"),1,0)</f>
        <v/>
      </c>
    </row>
    <row r="47">
      <c r="A47" s="3" t="n"/>
      <c r="B47" s="3" t="n"/>
      <c r="C47" s="3" t="n"/>
      <c r="D47" s="3" t="n"/>
      <c r="E47" s="3" t="n"/>
      <c r="F47" s="3" t="n"/>
      <c r="G47" s="4" t="n"/>
      <c r="H47" s="3" t="n"/>
      <c r="I47" s="3" t="n"/>
      <c r="J47" s="5">
        <f>IF(AND(D47="Venta",I47="Página"),1,0)</f>
        <v/>
      </c>
    </row>
    <row r="48">
      <c r="A48" s="3" t="n"/>
      <c r="B48" s="3" t="n"/>
      <c r="C48" s="3" t="n"/>
      <c r="D48" s="3" t="n"/>
      <c r="E48" s="3" t="n"/>
      <c r="F48" s="3" t="n"/>
      <c r="G48" s="4" t="n"/>
      <c r="H48" s="3" t="n"/>
      <c r="I48" s="3" t="n"/>
      <c r="J48" s="5">
        <f>IF(AND(D48="Venta",I48="Página"),1,0)</f>
        <v/>
      </c>
    </row>
    <row r="49">
      <c r="A49" s="3" t="n"/>
      <c r="B49" s="3" t="n"/>
      <c r="C49" s="3" t="n"/>
      <c r="D49" s="3" t="n"/>
      <c r="E49" s="3" t="n"/>
      <c r="F49" s="3" t="n"/>
      <c r="G49" s="4" t="n"/>
      <c r="H49" s="3" t="n"/>
      <c r="I49" s="3" t="n"/>
      <c r="J49" s="5">
        <f>IF(AND(D49="Venta",I49="Página"),1,0)</f>
        <v/>
      </c>
    </row>
    <row r="50">
      <c r="A50" s="3" t="n"/>
      <c r="B50" s="3" t="n"/>
      <c r="C50" s="3" t="n"/>
      <c r="D50" s="3" t="n"/>
      <c r="E50" s="3" t="n"/>
      <c r="F50" s="3" t="n"/>
      <c r="G50" s="4" t="n"/>
      <c r="H50" s="3" t="n"/>
      <c r="I50" s="3" t="n"/>
      <c r="J50" s="5">
        <f>IF(AND(D50="Venta",I50="Página"),1,0)</f>
        <v/>
      </c>
    </row>
    <row r="51">
      <c r="A51" s="3" t="n"/>
      <c r="B51" s="3" t="n"/>
      <c r="C51" s="3" t="n"/>
      <c r="D51" s="3" t="n"/>
      <c r="E51" s="3" t="n"/>
      <c r="F51" s="3" t="n"/>
      <c r="G51" s="4" t="n"/>
      <c r="H51" s="3" t="n"/>
      <c r="I51" s="3" t="n"/>
      <c r="J51" s="5">
        <f>IF(AND(D51="Venta",I51="Página"),1,0)</f>
        <v/>
      </c>
    </row>
    <row r="52">
      <c r="A52" s="3" t="n"/>
      <c r="B52" s="3" t="n"/>
      <c r="C52" s="3" t="n"/>
      <c r="D52" s="3" t="n"/>
      <c r="E52" s="3" t="n"/>
      <c r="F52" s="3" t="n"/>
      <c r="G52" s="4" t="n"/>
      <c r="H52" s="3" t="n"/>
      <c r="I52" s="3" t="n"/>
      <c r="J52" s="5">
        <f>IF(AND(D52="Venta",I52="Página"),1,0)</f>
        <v/>
      </c>
    </row>
    <row r="53">
      <c r="A53" s="3" t="n"/>
      <c r="B53" s="3" t="n"/>
      <c r="C53" s="3" t="n"/>
      <c r="D53" s="3" t="n"/>
      <c r="E53" s="3" t="n"/>
      <c r="F53" s="3" t="n"/>
      <c r="G53" s="4" t="n"/>
      <c r="H53" s="3" t="n"/>
      <c r="I53" s="3" t="n"/>
      <c r="J53" s="5">
        <f>IF(AND(D53="Venta",I53="Página"),1,0)</f>
        <v/>
      </c>
    </row>
    <row r="54">
      <c r="A54" s="3" t="n"/>
      <c r="B54" s="3" t="n"/>
      <c r="C54" s="3" t="n"/>
      <c r="D54" s="3" t="n"/>
      <c r="E54" s="3" t="n"/>
      <c r="F54" s="3" t="n"/>
      <c r="G54" s="4" t="n"/>
      <c r="H54" s="3" t="n"/>
      <c r="I54" s="3" t="n"/>
      <c r="J54" s="5">
        <f>IF(AND(D54="Venta",I54="Página"),1,0)</f>
        <v/>
      </c>
    </row>
    <row r="55">
      <c r="A55" s="3" t="n"/>
      <c r="B55" s="3" t="n"/>
      <c r="C55" s="3" t="n"/>
      <c r="D55" s="3" t="n"/>
      <c r="E55" s="3" t="n"/>
      <c r="F55" s="3" t="n"/>
      <c r="G55" s="4" t="n"/>
      <c r="H55" s="3" t="n"/>
      <c r="I55" s="3" t="n"/>
      <c r="J55" s="5">
        <f>IF(AND(D55="Venta",I55="Página"),1,0)</f>
        <v/>
      </c>
    </row>
    <row r="56">
      <c r="A56" s="3" t="n"/>
      <c r="B56" s="3" t="n"/>
      <c r="C56" s="3" t="n"/>
      <c r="D56" s="3" t="n"/>
      <c r="E56" s="3" t="n"/>
      <c r="F56" s="3" t="n"/>
      <c r="G56" s="4" t="n"/>
      <c r="H56" s="3" t="n"/>
      <c r="I56" s="3" t="n"/>
      <c r="J56" s="5">
        <f>IF(AND(D56="Venta",I56="Página"),1,0)</f>
        <v/>
      </c>
    </row>
    <row r="57">
      <c r="A57" s="3" t="n"/>
      <c r="B57" s="3" t="n"/>
      <c r="C57" s="3" t="n"/>
      <c r="D57" s="3" t="n"/>
      <c r="E57" s="3" t="n"/>
      <c r="F57" s="3" t="n"/>
      <c r="G57" s="4" t="n"/>
      <c r="H57" s="3" t="n"/>
      <c r="I57" s="3" t="n"/>
      <c r="J57" s="5">
        <f>IF(AND(D57="Venta",I57="Página"),1,0)</f>
        <v/>
      </c>
    </row>
    <row r="58">
      <c r="A58" s="3" t="n"/>
      <c r="B58" s="3" t="n"/>
      <c r="C58" s="3" t="n"/>
      <c r="D58" s="3" t="n"/>
      <c r="E58" s="3" t="n"/>
      <c r="F58" s="3" t="n"/>
      <c r="G58" s="4" t="n"/>
      <c r="H58" s="3" t="n"/>
      <c r="I58" s="3" t="n"/>
      <c r="J58" s="5">
        <f>IF(AND(D58="Venta",I58="Página"),1,0)</f>
        <v/>
      </c>
    </row>
    <row r="59">
      <c r="A59" s="3" t="n"/>
      <c r="B59" s="3" t="n"/>
      <c r="C59" s="3" t="n"/>
      <c r="D59" s="3" t="n"/>
      <c r="E59" s="3" t="n"/>
      <c r="F59" s="3" t="n"/>
      <c r="G59" s="4" t="n"/>
      <c r="H59" s="3" t="n"/>
      <c r="I59" s="3" t="n"/>
      <c r="J59" s="5">
        <f>IF(AND(D59="Venta",I59="Página"),1,0)</f>
        <v/>
      </c>
    </row>
    <row r="60">
      <c r="A60" s="3" t="n"/>
      <c r="B60" s="3" t="n"/>
      <c r="C60" s="3" t="n"/>
      <c r="D60" s="3" t="n"/>
      <c r="E60" s="3" t="n"/>
      <c r="F60" s="3" t="n"/>
      <c r="G60" s="4" t="n"/>
      <c r="H60" s="3" t="n"/>
      <c r="I60" s="3" t="n"/>
      <c r="J60" s="5">
        <f>IF(AND(D60="Venta",I60="Página"),1,0)</f>
        <v/>
      </c>
    </row>
    <row r="61">
      <c r="A61" s="3" t="n"/>
      <c r="B61" s="3" t="n"/>
      <c r="C61" s="3" t="n"/>
      <c r="D61" s="3" t="n"/>
      <c r="E61" s="3" t="n"/>
      <c r="F61" s="3" t="n"/>
      <c r="G61" s="4" t="n"/>
      <c r="H61" s="3" t="n"/>
      <c r="I61" s="3" t="n"/>
      <c r="J61" s="5">
        <f>IF(AND(D61="Venta",I61="Página"),1,0)</f>
        <v/>
      </c>
    </row>
    <row r="62">
      <c r="A62" s="3" t="n"/>
      <c r="B62" s="3" t="n"/>
      <c r="C62" s="3" t="n"/>
      <c r="D62" s="3" t="n"/>
      <c r="E62" s="3" t="n"/>
      <c r="F62" s="3" t="n"/>
      <c r="G62" s="4" t="n"/>
      <c r="H62" s="3" t="n"/>
      <c r="I62" s="3" t="n"/>
      <c r="J62" s="5">
        <f>IF(AND(D62="Venta",I62="Página"),1,0)</f>
        <v/>
      </c>
    </row>
    <row r="63">
      <c r="A63" s="3" t="n"/>
      <c r="B63" s="3" t="n"/>
      <c r="C63" s="3" t="n"/>
      <c r="D63" s="3" t="n"/>
      <c r="E63" s="3" t="n"/>
      <c r="F63" s="3" t="n"/>
      <c r="G63" s="4" t="n"/>
      <c r="H63" s="3" t="n"/>
      <c r="I63" s="3" t="n"/>
      <c r="J63" s="5">
        <f>IF(AND(D63="Venta",I63="Página"),1,0)</f>
        <v/>
      </c>
    </row>
    <row r="64">
      <c r="A64" s="3" t="n"/>
      <c r="B64" s="3" t="n"/>
      <c r="C64" s="3" t="n"/>
      <c r="D64" s="3" t="n"/>
      <c r="E64" s="3" t="n"/>
      <c r="F64" s="3" t="n"/>
      <c r="G64" s="4" t="n"/>
      <c r="H64" s="3" t="n"/>
      <c r="I64" s="3" t="n"/>
      <c r="J64" s="5">
        <f>IF(AND(D64="Venta",I64="Página"),1,0)</f>
        <v/>
      </c>
    </row>
    <row r="65">
      <c r="A65" s="3" t="n"/>
      <c r="B65" s="3" t="n"/>
      <c r="C65" s="3" t="n"/>
      <c r="D65" s="3" t="n"/>
      <c r="E65" s="3" t="n"/>
      <c r="F65" s="3" t="n"/>
      <c r="G65" s="4" t="n"/>
      <c r="H65" s="3" t="n"/>
      <c r="I65" s="3" t="n"/>
      <c r="J65" s="5">
        <f>IF(AND(D65="Venta",I65="Página"),1,0)</f>
        <v/>
      </c>
    </row>
    <row r="66">
      <c r="A66" s="3" t="n"/>
      <c r="B66" s="3" t="n"/>
      <c r="C66" s="3" t="n"/>
      <c r="D66" s="3" t="n"/>
      <c r="E66" s="3" t="n"/>
      <c r="F66" s="3" t="n"/>
      <c r="G66" s="4" t="n"/>
      <c r="H66" s="3" t="n"/>
      <c r="I66" s="3" t="n"/>
      <c r="J66" s="5">
        <f>IF(AND(D66="Venta",I66="Página"),1,0)</f>
        <v/>
      </c>
    </row>
    <row r="67">
      <c r="A67" s="3" t="n"/>
      <c r="B67" s="3" t="n"/>
      <c r="C67" s="3" t="n"/>
      <c r="D67" s="3" t="n"/>
      <c r="E67" s="3" t="n"/>
      <c r="F67" s="3" t="n"/>
      <c r="G67" s="4" t="n"/>
      <c r="H67" s="3" t="n"/>
      <c r="I67" s="3" t="n"/>
      <c r="J67" s="5">
        <f>IF(AND(D67="Venta",I67="Página"),1,0)</f>
        <v/>
      </c>
    </row>
    <row r="68">
      <c r="A68" s="3" t="n"/>
      <c r="B68" s="3" t="n"/>
      <c r="C68" s="3" t="n"/>
      <c r="D68" s="3" t="n"/>
      <c r="E68" s="3" t="n"/>
      <c r="F68" s="3" t="n"/>
      <c r="G68" s="4" t="n"/>
      <c r="H68" s="3" t="n"/>
      <c r="I68" s="3" t="n"/>
      <c r="J68" s="5">
        <f>IF(AND(D68="Venta",I68="Página"),1,0)</f>
        <v/>
      </c>
    </row>
    <row r="69">
      <c r="A69" s="3" t="n"/>
      <c r="B69" s="3" t="n"/>
      <c r="C69" s="3" t="n"/>
      <c r="D69" s="3" t="n"/>
      <c r="E69" s="3" t="n"/>
      <c r="F69" s="3" t="n"/>
      <c r="G69" s="4" t="n"/>
      <c r="H69" s="3" t="n"/>
      <c r="I69" s="3" t="n"/>
      <c r="J69" s="5">
        <f>IF(AND(D69="Venta",I69="Página"),1,0)</f>
        <v/>
      </c>
    </row>
    <row r="70">
      <c r="A70" s="3" t="n"/>
      <c r="B70" s="3" t="n"/>
      <c r="C70" s="3" t="n"/>
      <c r="D70" s="3" t="n"/>
      <c r="E70" s="3" t="n"/>
      <c r="F70" s="3" t="n"/>
      <c r="G70" s="4" t="n"/>
      <c r="H70" s="3" t="n"/>
      <c r="I70" s="3" t="n"/>
      <c r="J70" s="5">
        <f>IF(AND(D70="Venta",I70="Página"),1,0)</f>
        <v/>
      </c>
    </row>
    <row r="71">
      <c r="A71" s="3" t="n"/>
      <c r="B71" s="3" t="n"/>
      <c r="C71" s="3" t="n"/>
      <c r="D71" s="3" t="n"/>
      <c r="E71" s="3" t="n"/>
      <c r="F71" s="3" t="n"/>
      <c r="G71" s="4" t="n"/>
      <c r="H71" s="3" t="n"/>
      <c r="I71" s="3" t="n"/>
      <c r="J71" s="5">
        <f>IF(AND(D71="Venta",I71="Página"),1,0)</f>
        <v/>
      </c>
    </row>
    <row r="72">
      <c r="A72" s="3" t="n"/>
      <c r="B72" s="3" t="n"/>
      <c r="C72" s="3" t="n"/>
      <c r="D72" s="3" t="n"/>
      <c r="E72" s="3" t="n"/>
      <c r="F72" s="3" t="n"/>
      <c r="G72" s="4" t="n"/>
      <c r="H72" s="3" t="n"/>
      <c r="I72" s="3" t="n"/>
      <c r="J72" s="5">
        <f>IF(AND(D72="Venta",I72="Página"),1,0)</f>
        <v/>
      </c>
    </row>
    <row r="73">
      <c r="A73" s="3" t="n"/>
      <c r="B73" s="3" t="n"/>
      <c r="C73" s="3" t="n"/>
      <c r="D73" s="3" t="n"/>
      <c r="E73" s="3" t="n"/>
      <c r="F73" s="3" t="n"/>
      <c r="G73" s="4" t="n"/>
      <c r="H73" s="3" t="n"/>
      <c r="I73" s="3" t="n"/>
      <c r="J73" s="5">
        <f>IF(AND(D73="Venta",I73="Página"),1,0)</f>
        <v/>
      </c>
    </row>
    <row r="74">
      <c r="A74" s="3" t="n"/>
      <c r="B74" s="3" t="n"/>
      <c r="C74" s="3" t="n"/>
      <c r="D74" s="3" t="n"/>
      <c r="E74" s="3" t="n"/>
      <c r="F74" s="3" t="n"/>
      <c r="G74" s="4" t="n"/>
      <c r="H74" s="3" t="n"/>
      <c r="I74" s="3" t="n"/>
      <c r="J74" s="5">
        <f>IF(AND(D74="Venta",I74="Página"),1,0)</f>
        <v/>
      </c>
    </row>
    <row r="75">
      <c r="A75" s="3" t="n"/>
      <c r="B75" s="3" t="n"/>
      <c r="C75" s="3" t="n"/>
      <c r="D75" s="3" t="n"/>
      <c r="E75" s="3" t="n"/>
      <c r="F75" s="3" t="n"/>
      <c r="G75" s="4" t="n"/>
      <c r="H75" s="3" t="n"/>
      <c r="I75" s="3" t="n"/>
      <c r="J75" s="5">
        <f>IF(AND(D75="Venta",I75="Página"),1,0)</f>
        <v/>
      </c>
    </row>
    <row r="76">
      <c r="A76" s="3" t="n"/>
      <c r="B76" s="3" t="n"/>
      <c r="C76" s="3" t="n"/>
      <c r="D76" s="3" t="n"/>
      <c r="E76" s="3" t="n"/>
      <c r="F76" s="3" t="n"/>
      <c r="G76" s="4" t="n"/>
      <c r="H76" s="3" t="n"/>
      <c r="I76" s="3" t="n"/>
      <c r="J76" s="5">
        <f>IF(AND(D76="Venta",I76="Página"),1,0)</f>
        <v/>
      </c>
    </row>
    <row r="77">
      <c r="A77" s="3" t="n"/>
      <c r="B77" s="3" t="n"/>
      <c r="C77" s="3" t="n"/>
      <c r="D77" s="3" t="n"/>
      <c r="E77" s="3" t="n"/>
      <c r="F77" s="3" t="n"/>
      <c r="G77" s="4" t="n"/>
      <c r="H77" s="3" t="n"/>
      <c r="I77" s="3" t="n"/>
      <c r="J77" s="5">
        <f>IF(AND(D77="Venta",I77="Página"),1,0)</f>
        <v/>
      </c>
    </row>
    <row r="78">
      <c r="A78" s="3" t="n"/>
      <c r="B78" s="3" t="n"/>
      <c r="C78" s="3" t="n"/>
      <c r="D78" s="3" t="n"/>
      <c r="E78" s="3" t="n"/>
      <c r="F78" s="3" t="n"/>
      <c r="G78" s="4" t="n"/>
      <c r="H78" s="3" t="n"/>
      <c r="I78" s="3" t="n"/>
      <c r="J78" s="5">
        <f>IF(AND(D78="Venta",I78="Página"),1,0)</f>
        <v/>
      </c>
    </row>
    <row r="79">
      <c r="A79" s="3" t="n"/>
      <c r="B79" s="3" t="n"/>
      <c r="C79" s="3" t="n"/>
      <c r="D79" s="3" t="n"/>
      <c r="E79" s="3" t="n"/>
      <c r="F79" s="3" t="n"/>
      <c r="G79" s="4" t="n"/>
      <c r="H79" s="3" t="n"/>
      <c r="I79" s="3" t="n"/>
      <c r="J79" s="5">
        <f>IF(AND(D79="Venta",I79="Página"),1,0)</f>
        <v/>
      </c>
    </row>
    <row r="80">
      <c r="A80" s="3" t="n"/>
      <c r="B80" s="3" t="n"/>
      <c r="C80" s="3" t="n"/>
      <c r="D80" s="3" t="n"/>
      <c r="E80" s="3" t="n"/>
      <c r="F80" s="3" t="n"/>
      <c r="G80" s="4" t="n"/>
      <c r="H80" s="3" t="n"/>
      <c r="I80" s="3" t="n"/>
      <c r="J80" s="5">
        <f>IF(AND(D80="Venta",I80="Página"),1,0)</f>
        <v/>
      </c>
    </row>
    <row r="81">
      <c r="A81" s="3" t="n"/>
      <c r="B81" s="3" t="n"/>
      <c r="C81" s="3" t="n"/>
      <c r="D81" s="3" t="n"/>
      <c r="E81" s="3" t="n"/>
      <c r="F81" s="3" t="n"/>
      <c r="G81" s="4" t="n"/>
      <c r="H81" s="3" t="n"/>
      <c r="I81" s="3" t="n"/>
      <c r="J81" s="5">
        <f>IF(AND(D81="Venta",I81="Página"),1,0)</f>
        <v/>
      </c>
    </row>
    <row r="82">
      <c r="A82" s="3" t="n"/>
      <c r="B82" s="3" t="n"/>
      <c r="C82" s="3" t="n"/>
      <c r="D82" s="3" t="n"/>
      <c r="E82" s="3" t="n"/>
      <c r="F82" s="3" t="n"/>
      <c r="G82" s="4" t="n"/>
      <c r="H82" s="3" t="n"/>
      <c r="I82" s="3" t="n"/>
      <c r="J82" s="5">
        <f>IF(AND(D82="Venta",I82="Página"),1,0)</f>
        <v/>
      </c>
    </row>
    <row r="83">
      <c r="A83" s="3" t="n"/>
      <c r="B83" s="3" t="n"/>
      <c r="C83" s="3" t="n"/>
      <c r="D83" s="3" t="n"/>
      <c r="E83" s="3" t="n"/>
      <c r="F83" s="3" t="n"/>
      <c r="G83" s="4" t="n"/>
      <c r="H83" s="3" t="n"/>
      <c r="I83" s="3" t="n"/>
      <c r="J83" s="5">
        <f>IF(AND(D83="Venta",I83="Página"),1,0)</f>
        <v/>
      </c>
    </row>
    <row r="84">
      <c r="A84" s="3" t="n"/>
      <c r="B84" s="3" t="n"/>
      <c r="C84" s="3" t="n"/>
      <c r="D84" s="3" t="n"/>
      <c r="E84" s="3" t="n"/>
      <c r="F84" s="3" t="n"/>
      <c r="G84" s="4" t="n"/>
      <c r="H84" s="3" t="n"/>
      <c r="I84" s="3" t="n"/>
      <c r="J84" s="5">
        <f>IF(AND(D84="Venta",I84="Página"),1,0)</f>
        <v/>
      </c>
    </row>
    <row r="85">
      <c r="A85" s="3" t="n"/>
      <c r="B85" s="3" t="n"/>
      <c r="C85" s="3" t="n"/>
      <c r="D85" s="3" t="n"/>
      <c r="E85" s="3" t="n"/>
      <c r="F85" s="3" t="n"/>
      <c r="G85" s="4" t="n"/>
      <c r="H85" s="3" t="n"/>
      <c r="I85" s="3" t="n"/>
      <c r="J85" s="5">
        <f>IF(AND(D85="Venta",I85="Página"),1,0)</f>
        <v/>
      </c>
    </row>
    <row r="86">
      <c r="A86" s="3" t="n"/>
      <c r="B86" s="3" t="n"/>
      <c r="C86" s="3" t="n"/>
      <c r="D86" s="3" t="n"/>
      <c r="E86" s="3" t="n"/>
      <c r="F86" s="3" t="n"/>
      <c r="G86" s="4" t="n"/>
      <c r="H86" s="3" t="n"/>
      <c r="I86" s="3" t="n"/>
      <c r="J86" s="5">
        <f>IF(AND(D86="Venta",I86="Página"),1,0)</f>
        <v/>
      </c>
    </row>
    <row r="87">
      <c r="A87" s="3" t="n"/>
      <c r="B87" s="3" t="n"/>
      <c r="C87" s="3" t="n"/>
      <c r="D87" s="3" t="n"/>
      <c r="E87" s="3" t="n"/>
      <c r="F87" s="3" t="n"/>
      <c r="G87" s="4" t="n"/>
      <c r="H87" s="3" t="n"/>
      <c r="I87" s="3" t="n"/>
      <c r="J87" s="5">
        <f>IF(AND(D87="Venta",I87="Página"),1,0)</f>
        <v/>
      </c>
    </row>
    <row r="88">
      <c r="A88" s="3" t="n"/>
      <c r="B88" s="3" t="n"/>
      <c r="C88" s="3" t="n"/>
      <c r="D88" s="3" t="n"/>
      <c r="E88" s="3" t="n"/>
      <c r="F88" s="3" t="n"/>
      <c r="G88" s="4" t="n"/>
      <c r="H88" s="3" t="n"/>
      <c r="I88" s="3" t="n"/>
      <c r="J88" s="5">
        <f>IF(AND(D88="Venta",I88="Página"),1,0)</f>
        <v/>
      </c>
    </row>
    <row r="89">
      <c r="A89" s="3" t="n"/>
      <c r="B89" s="3" t="n"/>
      <c r="C89" s="3" t="n"/>
      <c r="D89" s="3" t="n"/>
      <c r="E89" s="3" t="n"/>
      <c r="F89" s="3" t="n"/>
      <c r="G89" s="4" t="n"/>
      <c r="H89" s="3" t="n"/>
      <c r="I89" s="3" t="n"/>
      <c r="J89" s="5">
        <f>IF(AND(D89="Venta",I89="Página"),1,0)</f>
        <v/>
      </c>
    </row>
    <row r="90">
      <c r="A90" s="3" t="n"/>
      <c r="B90" s="3" t="n"/>
      <c r="C90" s="3" t="n"/>
      <c r="D90" s="3" t="n"/>
      <c r="E90" s="3" t="n"/>
      <c r="F90" s="3" t="n"/>
      <c r="G90" s="4" t="n"/>
      <c r="H90" s="3" t="n"/>
      <c r="I90" s="3" t="n"/>
      <c r="J90" s="5">
        <f>IF(AND(D90="Venta",I90="Página"),1,0)</f>
        <v/>
      </c>
    </row>
    <row r="91">
      <c r="A91" s="3" t="n"/>
      <c r="B91" s="3" t="n"/>
      <c r="C91" s="3" t="n"/>
      <c r="D91" s="3" t="n"/>
      <c r="E91" s="3" t="n"/>
      <c r="F91" s="3" t="n"/>
      <c r="G91" s="4" t="n"/>
      <c r="H91" s="3" t="n"/>
      <c r="I91" s="3" t="n"/>
      <c r="J91" s="5">
        <f>IF(AND(D91="Venta",I91="Página"),1,0)</f>
        <v/>
      </c>
    </row>
    <row r="92">
      <c r="A92" s="3" t="n"/>
      <c r="B92" s="3" t="n"/>
      <c r="C92" s="3" t="n"/>
      <c r="D92" s="3" t="n"/>
      <c r="E92" s="3" t="n"/>
      <c r="F92" s="3" t="n"/>
      <c r="G92" s="4" t="n"/>
      <c r="H92" s="3" t="n"/>
      <c r="I92" s="3" t="n"/>
      <c r="J92" s="5">
        <f>IF(AND(D92="Venta",I92="Página"),1,0)</f>
        <v/>
      </c>
    </row>
    <row r="93">
      <c r="A93" s="3" t="n"/>
      <c r="B93" s="3" t="n"/>
      <c r="C93" s="3" t="n"/>
      <c r="D93" s="3" t="n"/>
      <c r="E93" s="3" t="n"/>
      <c r="F93" s="3" t="n"/>
      <c r="G93" s="4" t="n"/>
      <c r="H93" s="3" t="n"/>
      <c r="I93" s="3" t="n"/>
      <c r="J93" s="5">
        <f>IF(AND(D93="Venta",I93="Página"),1,0)</f>
        <v/>
      </c>
    </row>
    <row r="94">
      <c r="A94" s="3" t="n"/>
      <c r="B94" s="3" t="n"/>
      <c r="C94" s="3" t="n"/>
      <c r="D94" s="3" t="n"/>
      <c r="E94" s="3" t="n"/>
      <c r="F94" s="3" t="n"/>
      <c r="G94" s="4" t="n"/>
      <c r="H94" s="3" t="n"/>
      <c r="I94" s="3" t="n"/>
      <c r="J94" s="5">
        <f>IF(AND(D94="Venta",I94="Página"),1,0)</f>
        <v/>
      </c>
    </row>
    <row r="95">
      <c r="A95" s="3" t="n"/>
      <c r="B95" s="3" t="n"/>
      <c r="C95" s="3" t="n"/>
      <c r="D95" s="3" t="n"/>
      <c r="E95" s="3" t="n"/>
      <c r="F95" s="3" t="n"/>
      <c r="G95" s="4" t="n"/>
      <c r="H95" s="3" t="n"/>
      <c r="I95" s="3" t="n"/>
      <c r="J95" s="5">
        <f>IF(AND(D95="Venta",I95="Página"),1,0)</f>
        <v/>
      </c>
    </row>
    <row r="96">
      <c r="A96" s="3" t="n"/>
      <c r="B96" s="3" t="n"/>
      <c r="C96" s="3" t="n"/>
      <c r="D96" s="3" t="n"/>
      <c r="E96" s="3" t="n"/>
      <c r="F96" s="3" t="n"/>
      <c r="G96" s="4" t="n"/>
      <c r="H96" s="3" t="n"/>
      <c r="I96" s="3" t="n"/>
      <c r="J96" s="5">
        <f>IF(AND(D96="Venta",I96="Página"),1,0)</f>
        <v/>
      </c>
    </row>
    <row r="97">
      <c r="A97" s="3" t="n"/>
      <c r="B97" s="3" t="n"/>
      <c r="C97" s="3" t="n"/>
      <c r="D97" s="3" t="n"/>
      <c r="E97" s="3" t="n"/>
      <c r="F97" s="3" t="n"/>
      <c r="G97" s="4" t="n"/>
      <c r="H97" s="3" t="n"/>
      <c r="I97" s="3" t="n"/>
      <c r="J97" s="5">
        <f>IF(AND(D97="Venta",I97="Página"),1,0)</f>
        <v/>
      </c>
    </row>
    <row r="98">
      <c r="A98" s="3" t="n"/>
      <c r="B98" s="3" t="n"/>
      <c r="C98" s="3" t="n"/>
      <c r="D98" s="3" t="n"/>
      <c r="E98" s="3" t="n"/>
      <c r="F98" s="3" t="n"/>
      <c r="G98" s="4" t="n"/>
      <c r="H98" s="3" t="n"/>
      <c r="I98" s="3" t="n"/>
      <c r="J98" s="5">
        <f>IF(AND(D98="Venta",I98="Página"),1,0)</f>
        <v/>
      </c>
    </row>
    <row r="99">
      <c r="A99" s="3" t="n"/>
      <c r="B99" s="3" t="n"/>
      <c r="C99" s="3" t="n"/>
      <c r="D99" s="3" t="n"/>
      <c r="E99" s="3" t="n"/>
      <c r="F99" s="3" t="n"/>
      <c r="G99" s="4" t="n"/>
      <c r="H99" s="3" t="n"/>
      <c r="I99" s="3" t="n"/>
      <c r="J99" s="5">
        <f>IF(AND(D99="Venta",I99="Página"),1,0)</f>
        <v/>
      </c>
    </row>
    <row r="100">
      <c r="A100" s="3" t="n"/>
      <c r="B100" s="3" t="n"/>
      <c r="C100" s="3" t="n"/>
      <c r="D100" s="3" t="n"/>
      <c r="E100" s="3" t="n"/>
      <c r="F100" s="3" t="n"/>
      <c r="G100" s="4" t="n"/>
      <c r="H100" s="3" t="n"/>
      <c r="I100" s="3" t="n"/>
      <c r="J100" s="5">
        <f>IF(AND(D100="Venta",I100="Página"),1,0)</f>
        <v/>
      </c>
    </row>
    <row r="101">
      <c r="A101" s="3" t="n"/>
      <c r="B101" s="3" t="n"/>
      <c r="C101" s="3" t="n"/>
      <c r="D101" s="3" t="n"/>
      <c r="E101" s="3" t="n"/>
      <c r="F101" s="3" t="n"/>
      <c r="G101" s="4" t="n"/>
      <c r="H101" s="3" t="n"/>
      <c r="I101" s="3" t="n"/>
      <c r="J101" s="5">
        <f>IF(AND(D101="Venta",I101="Página"),1,0)</f>
        <v/>
      </c>
    </row>
    <row r="102">
      <c r="A102" s="3" t="n"/>
      <c r="B102" s="3" t="n"/>
      <c r="C102" s="3" t="n"/>
      <c r="D102" s="3" t="n"/>
      <c r="E102" s="3" t="n"/>
      <c r="F102" s="3" t="n"/>
      <c r="G102" s="4" t="n"/>
      <c r="H102" s="3" t="n"/>
      <c r="I102" s="3" t="n"/>
      <c r="J102" s="5">
        <f>IF(AND(D102="Venta",I102="Página"),1,0)</f>
        <v/>
      </c>
    </row>
    <row r="103">
      <c r="A103" s="3" t="n"/>
      <c r="B103" s="3" t="n"/>
      <c r="C103" s="3" t="n"/>
      <c r="D103" s="3" t="n"/>
      <c r="E103" s="3" t="n"/>
      <c r="F103" s="3" t="n"/>
      <c r="G103" s="4" t="n"/>
      <c r="H103" s="3" t="n"/>
      <c r="I103" s="3" t="n"/>
      <c r="J103" s="5">
        <f>IF(AND(D103="Venta",I103="Página"),1,0)</f>
        <v/>
      </c>
    </row>
    <row r="104">
      <c r="A104" s="3" t="n"/>
      <c r="B104" s="3" t="n"/>
      <c r="C104" s="3" t="n"/>
      <c r="D104" s="3" t="n"/>
      <c r="E104" s="3" t="n"/>
      <c r="F104" s="3" t="n"/>
      <c r="G104" s="4" t="n"/>
      <c r="H104" s="3" t="n"/>
      <c r="I104" s="3" t="n"/>
      <c r="J104" s="5">
        <f>IF(AND(D104="Venta",I104="Página"),1,0)</f>
        <v/>
      </c>
    </row>
    <row r="105">
      <c r="A105" s="3" t="n"/>
      <c r="B105" s="3" t="n"/>
      <c r="C105" s="3" t="n"/>
      <c r="D105" s="3" t="n"/>
      <c r="E105" s="3" t="n"/>
      <c r="F105" s="3" t="n"/>
      <c r="G105" s="4" t="n"/>
      <c r="H105" s="3" t="n"/>
      <c r="I105" s="3" t="n"/>
      <c r="J105" s="5">
        <f>IF(AND(D105="Venta",I105="Página"),1,0)</f>
        <v/>
      </c>
    </row>
    <row r="106">
      <c r="A106" s="3" t="n"/>
      <c r="B106" s="3" t="n"/>
      <c r="C106" s="3" t="n"/>
      <c r="D106" s="3" t="n"/>
      <c r="E106" s="3" t="n"/>
      <c r="F106" s="3" t="n"/>
      <c r="G106" s="4" t="n"/>
      <c r="H106" s="3" t="n"/>
      <c r="I106" s="3" t="n"/>
      <c r="J106" s="5">
        <f>IF(AND(D106="Venta",I106="Página"),1,0)</f>
        <v/>
      </c>
    </row>
    <row r="107">
      <c r="A107" s="3" t="n"/>
      <c r="B107" s="3" t="n"/>
      <c r="C107" s="3" t="n"/>
      <c r="D107" s="3" t="n"/>
      <c r="E107" s="3" t="n"/>
      <c r="F107" s="3" t="n"/>
      <c r="G107" s="4" t="n"/>
      <c r="H107" s="3" t="n"/>
      <c r="I107" s="3" t="n"/>
      <c r="J107" s="5">
        <f>IF(AND(D107="Venta",I107="Página"),1,0)</f>
        <v/>
      </c>
    </row>
    <row r="108">
      <c r="A108" s="3" t="n"/>
      <c r="B108" s="3" t="n"/>
      <c r="C108" s="3" t="n"/>
      <c r="D108" s="3" t="n"/>
      <c r="E108" s="3" t="n"/>
      <c r="F108" s="3" t="n"/>
      <c r="G108" s="4" t="n"/>
      <c r="H108" s="3" t="n"/>
      <c r="I108" s="3" t="n"/>
      <c r="J108" s="5">
        <f>IF(AND(D108="Venta",I108="Página"),1,0)</f>
        <v/>
      </c>
    </row>
    <row r="109">
      <c r="A109" s="3" t="n"/>
      <c r="B109" s="3" t="n"/>
      <c r="C109" s="3" t="n"/>
      <c r="D109" s="3" t="n"/>
      <c r="E109" s="3" t="n"/>
      <c r="F109" s="3" t="n"/>
      <c r="G109" s="4" t="n"/>
      <c r="H109" s="3" t="n"/>
      <c r="I109" s="3" t="n"/>
      <c r="J109" s="5">
        <f>IF(AND(D109="Venta",I109="Página"),1,0)</f>
        <v/>
      </c>
    </row>
    <row r="110">
      <c r="A110" s="3" t="n"/>
      <c r="B110" s="3" t="n"/>
      <c r="C110" s="3" t="n"/>
      <c r="D110" s="3" t="n"/>
      <c r="E110" s="3" t="n"/>
      <c r="F110" s="3" t="n"/>
      <c r="G110" s="4" t="n"/>
      <c r="H110" s="3" t="n"/>
      <c r="I110" s="3" t="n"/>
      <c r="J110" s="5">
        <f>IF(AND(D110="Venta",I110="Página"),1,0)</f>
        <v/>
      </c>
    </row>
    <row r="111">
      <c r="A111" s="3" t="n"/>
      <c r="B111" s="3" t="n"/>
      <c r="C111" s="3" t="n"/>
      <c r="D111" s="3" t="n"/>
      <c r="E111" s="3" t="n"/>
      <c r="F111" s="3" t="n"/>
      <c r="G111" s="4" t="n"/>
      <c r="H111" s="3" t="n"/>
      <c r="I111" s="3" t="n"/>
      <c r="J111" s="5">
        <f>IF(AND(D111="Venta",I111="Página"),1,0)</f>
        <v/>
      </c>
    </row>
    <row r="112">
      <c r="A112" s="3" t="n"/>
      <c r="B112" s="3" t="n"/>
      <c r="C112" s="3" t="n"/>
      <c r="D112" s="3" t="n"/>
      <c r="E112" s="3" t="n"/>
      <c r="F112" s="3" t="n"/>
      <c r="G112" s="4" t="n"/>
      <c r="H112" s="3" t="n"/>
      <c r="I112" s="3" t="n"/>
      <c r="J112" s="5">
        <f>IF(AND(D112="Venta",I112="Página"),1,0)</f>
        <v/>
      </c>
    </row>
    <row r="113">
      <c r="A113" s="3" t="n"/>
      <c r="B113" s="3" t="n"/>
      <c r="C113" s="3" t="n"/>
      <c r="D113" s="3" t="n"/>
      <c r="E113" s="3" t="n"/>
      <c r="F113" s="3" t="n"/>
      <c r="G113" s="4" t="n"/>
      <c r="H113" s="3" t="n"/>
      <c r="I113" s="3" t="n"/>
      <c r="J113" s="5">
        <f>IF(AND(D113="Venta",I113="Página"),1,0)</f>
        <v/>
      </c>
    </row>
    <row r="114">
      <c r="A114" s="3" t="n"/>
      <c r="B114" s="3" t="n"/>
      <c r="C114" s="3" t="n"/>
      <c r="D114" s="3" t="n"/>
      <c r="E114" s="3" t="n"/>
      <c r="F114" s="3" t="n"/>
      <c r="G114" s="4" t="n"/>
      <c r="H114" s="3" t="n"/>
      <c r="I114" s="3" t="n"/>
      <c r="J114" s="5">
        <f>IF(AND(D114="Venta",I114="Página"),1,0)</f>
        <v/>
      </c>
    </row>
    <row r="115">
      <c r="A115" s="3" t="n"/>
      <c r="B115" s="3" t="n"/>
      <c r="C115" s="3" t="n"/>
      <c r="D115" s="3" t="n"/>
      <c r="E115" s="3" t="n"/>
      <c r="F115" s="3" t="n"/>
      <c r="G115" s="4" t="n"/>
      <c r="H115" s="3" t="n"/>
      <c r="I115" s="3" t="n"/>
      <c r="J115" s="5">
        <f>IF(AND(D115="Venta",I115="Página"),1,0)</f>
        <v/>
      </c>
    </row>
    <row r="116">
      <c r="A116" s="3" t="n"/>
      <c r="B116" s="3" t="n"/>
      <c r="C116" s="3" t="n"/>
      <c r="D116" s="3" t="n"/>
      <c r="E116" s="3" t="n"/>
      <c r="F116" s="3" t="n"/>
      <c r="G116" s="4" t="n"/>
      <c r="H116" s="3" t="n"/>
      <c r="I116" s="3" t="n"/>
      <c r="J116" s="5">
        <f>IF(AND(D116="Venta",I116="Página"),1,0)</f>
        <v/>
      </c>
    </row>
    <row r="117">
      <c r="A117" s="3" t="n"/>
      <c r="B117" s="3" t="n"/>
      <c r="C117" s="3" t="n"/>
      <c r="D117" s="3" t="n"/>
      <c r="E117" s="3" t="n"/>
      <c r="F117" s="3" t="n"/>
      <c r="G117" s="4" t="n"/>
      <c r="H117" s="3" t="n"/>
      <c r="I117" s="3" t="n"/>
      <c r="J117" s="5">
        <f>IF(AND(D117="Venta",I117="Página"),1,0)</f>
        <v/>
      </c>
    </row>
    <row r="118">
      <c r="A118" s="3" t="n"/>
      <c r="B118" s="3" t="n"/>
      <c r="C118" s="3" t="n"/>
      <c r="D118" s="3" t="n"/>
      <c r="E118" s="3" t="n"/>
      <c r="F118" s="3" t="n"/>
      <c r="G118" s="4" t="n"/>
      <c r="H118" s="3" t="n"/>
      <c r="I118" s="3" t="n"/>
      <c r="J118" s="5">
        <f>IF(AND(D118="Venta",I118="Página"),1,0)</f>
        <v/>
      </c>
    </row>
    <row r="119">
      <c r="A119" s="3" t="n"/>
      <c r="B119" s="3" t="n"/>
      <c r="C119" s="3" t="n"/>
      <c r="D119" s="3" t="n"/>
      <c r="E119" s="3" t="n"/>
      <c r="F119" s="3" t="n"/>
      <c r="G119" s="4" t="n"/>
      <c r="H119" s="3" t="n"/>
      <c r="I119" s="3" t="n"/>
      <c r="J119" s="5">
        <f>IF(AND(D119="Venta",I119="Página"),1,0)</f>
        <v/>
      </c>
    </row>
    <row r="120">
      <c r="A120" s="3" t="n"/>
      <c r="B120" s="3" t="n"/>
      <c r="C120" s="3" t="n"/>
      <c r="D120" s="3" t="n"/>
      <c r="E120" s="3" t="n"/>
      <c r="F120" s="3" t="n"/>
      <c r="G120" s="4" t="n"/>
      <c r="H120" s="3" t="n"/>
      <c r="I120" s="3" t="n"/>
      <c r="J120" s="5">
        <f>IF(AND(D120="Venta",I120="Página"),1,0)</f>
        <v/>
      </c>
    </row>
    <row r="121">
      <c r="A121" s="3" t="n"/>
      <c r="B121" s="3" t="n"/>
      <c r="C121" s="3" t="n"/>
      <c r="D121" s="3" t="n"/>
      <c r="E121" s="3" t="n"/>
      <c r="F121" s="3" t="n"/>
      <c r="G121" s="4" t="n"/>
      <c r="H121" s="3" t="n"/>
      <c r="I121" s="3" t="n"/>
      <c r="J121" s="5">
        <f>IF(AND(D121="Venta",I121="Página"),1,0)</f>
        <v/>
      </c>
    </row>
    <row r="122">
      <c r="A122" s="3" t="n"/>
      <c r="B122" s="3" t="n"/>
      <c r="C122" s="3" t="n"/>
      <c r="D122" s="3" t="n"/>
      <c r="E122" s="3" t="n"/>
      <c r="F122" s="3" t="n"/>
      <c r="G122" s="4" t="n"/>
      <c r="H122" s="3" t="n"/>
      <c r="I122" s="3" t="n"/>
      <c r="J122" s="5">
        <f>IF(AND(D122="Venta",I122="Página"),1,0)</f>
        <v/>
      </c>
    </row>
    <row r="123">
      <c r="A123" s="3" t="n"/>
      <c r="B123" s="3" t="n"/>
      <c r="C123" s="3" t="n"/>
      <c r="D123" s="3" t="n"/>
      <c r="E123" s="3" t="n"/>
      <c r="F123" s="3" t="n"/>
      <c r="G123" s="4" t="n"/>
      <c r="H123" s="3" t="n"/>
      <c r="I123" s="3" t="n"/>
      <c r="J123" s="5">
        <f>IF(AND(D123="Venta",I123="Página"),1,0)</f>
        <v/>
      </c>
    </row>
    <row r="124">
      <c r="A124" s="3" t="n"/>
      <c r="B124" s="3" t="n"/>
      <c r="C124" s="3" t="n"/>
      <c r="D124" s="3" t="n"/>
      <c r="E124" s="3" t="n"/>
      <c r="F124" s="3" t="n"/>
      <c r="G124" s="4" t="n"/>
      <c r="H124" s="3" t="n"/>
      <c r="I124" s="3" t="n"/>
      <c r="J124" s="5">
        <f>IF(AND(D124="Venta",I124="Página"),1,0)</f>
        <v/>
      </c>
    </row>
    <row r="125">
      <c r="A125" s="3" t="n"/>
      <c r="B125" s="3" t="n"/>
      <c r="C125" s="3" t="n"/>
      <c r="D125" s="3" t="n"/>
      <c r="E125" s="3" t="n"/>
      <c r="F125" s="3" t="n"/>
      <c r="G125" s="4" t="n"/>
      <c r="H125" s="3" t="n"/>
      <c r="I125" s="3" t="n"/>
      <c r="J125" s="5">
        <f>IF(AND(D125="Venta",I125="Página"),1,0)</f>
        <v/>
      </c>
    </row>
    <row r="126">
      <c r="A126" s="3" t="n"/>
      <c r="B126" s="3" t="n"/>
      <c r="C126" s="3" t="n"/>
      <c r="D126" s="3" t="n"/>
      <c r="E126" s="3" t="n"/>
      <c r="F126" s="3" t="n"/>
      <c r="G126" s="4" t="n"/>
      <c r="H126" s="3" t="n"/>
      <c r="I126" s="3" t="n"/>
      <c r="J126" s="5">
        <f>IF(AND(D126="Venta",I126="Página"),1,0)</f>
        <v/>
      </c>
    </row>
    <row r="127">
      <c r="A127" s="3" t="n"/>
      <c r="B127" s="3" t="n"/>
      <c r="C127" s="3" t="n"/>
      <c r="D127" s="3" t="n"/>
      <c r="E127" s="3" t="n"/>
      <c r="F127" s="3" t="n"/>
      <c r="G127" s="4" t="n"/>
      <c r="H127" s="3" t="n"/>
      <c r="I127" s="3" t="n"/>
      <c r="J127" s="5">
        <f>IF(AND(D127="Venta",I127="Página"),1,0)</f>
        <v/>
      </c>
    </row>
    <row r="128">
      <c r="A128" s="3" t="n"/>
      <c r="B128" s="3" t="n"/>
      <c r="C128" s="3" t="n"/>
      <c r="D128" s="3" t="n"/>
      <c r="E128" s="3" t="n"/>
      <c r="F128" s="3" t="n"/>
      <c r="G128" s="4" t="n"/>
      <c r="H128" s="3" t="n"/>
      <c r="I128" s="3" t="n"/>
      <c r="J128" s="5">
        <f>IF(AND(D128="Venta",I128="Página"),1,0)</f>
        <v/>
      </c>
    </row>
    <row r="129">
      <c r="A129" s="3" t="n"/>
      <c r="B129" s="3" t="n"/>
      <c r="C129" s="3" t="n"/>
      <c r="D129" s="3" t="n"/>
      <c r="E129" s="3" t="n"/>
      <c r="F129" s="3" t="n"/>
      <c r="G129" s="4" t="n"/>
      <c r="H129" s="3" t="n"/>
      <c r="I129" s="3" t="n"/>
      <c r="J129" s="5">
        <f>IF(AND(D129="Venta",I129="Página"),1,0)</f>
        <v/>
      </c>
    </row>
    <row r="130">
      <c r="A130" s="3" t="n"/>
      <c r="B130" s="3" t="n"/>
      <c r="C130" s="3" t="n"/>
      <c r="D130" s="3" t="n"/>
      <c r="E130" s="3" t="n"/>
      <c r="F130" s="3" t="n"/>
      <c r="G130" s="4" t="n"/>
      <c r="H130" s="3" t="n"/>
      <c r="I130" s="3" t="n"/>
      <c r="J130" s="5">
        <f>IF(AND(D130="Venta",I130="Página"),1,0)</f>
        <v/>
      </c>
    </row>
    <row r="131">
      <c r="A131" s="3" t="n"/>
      <c r="B131" s="3" t="n"/>
      <c r="C131" s="3" t="n"/>
      <c r="D131" s="3" t="n"/>
      <c r="E131" s="3" t="n"/>
      <c r="F131" s="3" t="n"/>
      <c r="G131" s="4" t="n"/>
      <c r="H131" s="3" t="n"/>
      <c r="I131" s="3" t="n"/>
      <c r="J131" s="5">
        <f>IF(AND(D131="Venta",I131="Página"),1,0)</f>
        <v/>
      </c>
    </row>
    <row r="132">
      <c r="A132" s="3" t="n"/>
      <c r="B132" s="3" t="n"/>
      <c r="C132" s="3" t="n"/>
      <c r="D132" s="3" t="n"/>
      <c r="E132" s="3" t="n"/>
      <c r="F132" s="3" t="n"/>
      <c r="G132" s="4" t="n"/>
      <c r="H132" s="3" t="n"/>
      <c r="I132" s="3" t="n"/>
      <c r="J132" s="5">
        <f>IF(AND(D132="Venta",I132="Página"),1,0)</f>
        <v/>
      </c>
    </row>
    <row r="133">
      <c r="A133" s="3" t="n"/>
      <c r="B133" s="3" t="n"/>
      <c r="C133" s="3" t="n"/>
      <c r="D133" s="3" t="n"/>
      <c r="E133" s="3" t="n"/>
      <c r="F133" s="3" t="n"/>
      <c r="G133" s="4" t="n"/>
      <c r="H133" s="3" t="n"/>
      <c r="I133" s="3" t="n"/>
      <c r="J133" s="5">
        <f>IF(AND(D133="Venta",I133="Página"),1,0)</f>
        <v/>
      </c>
    </row>
    <row r="134">
      <c r="A134" s="3" t="n"/>
      <c r="B134" s="3" t="n"/>
      <c r="C134" s="3" t="n"/>
      <c r="D134" s="3" t="n"/>
      <c r="E134" s="3" t="n"/>
      <c r="F134" s="3" t="n"/>
      <c r="G134" s="4" t="n"/>
      <c r="H134" s="3" t="n"/>
      <c r="I134" s="3" t="n"/>
      <c r="J134" s="5">
        <f>IF(AND(D134="Venta",I134="Página"),1,0)</f>
        <v/>
      </c>
    </row>
    <row r="135">
      <c r="A135" s="3" t="n"/>
      <c r="B135" s="3" t="n"/>
      <c r="C135" s="3" t="n"/>
      <c r="D135" s="3" t="n"/>
      <c r="E135" s="3" t="n"/>
      <c r="F135" s="3" t="n"/>
      <c r="G135" s="4" t="n"/>
      <c r="H135" s="3" t="n"/>
      <c r="I135" s="3" t="n"/>
      <c r="J135" s="5">
        <f>IF(AND(D135="Venta",I135="Página"),1,0)</f>
        <v/>
      </c>
    </row>
    <row r="136">
      <c r="A136" s="3" t="n"/>
      <c r="B136" s="3" t="n"/>
      <c r="C136" s="3" t="n"/>
      <c r="D136" s="3" t="n"/>
      <c r="E136" s="3" t="n"/>
      <c r="F136" s="3" t="n"/>
      <c r="G136" s="4" t="n"/>
      <c r="H136" s="3" t="n"/>
      <c r="I136" s="3" t="n"/>
      <c r="J136" s="5">
        <f>IF(AND(D136="Venta",I136="Página"),1,0)</f>
        <v/>
      </c>
    </row>
    <row r="137">
      <c r="A137" s="3" t="n"/>
      <c r="B137" s="3" t="n"/>
      <c r="C137" s="3" t="n"/>
      <c r="D137" s="3" t="n"/>
      <c r="E137" s="3" t="n"/>
      <c r="F137" s="3" t="n"/>
      <c r="G137" s="4" t="n"/>
      <c r="H137" s="3" t="n"/>
      <c r="I137" s="3" t="n"/>
      <c r="J137" s="5">
        <f>IF(AND(D137="Venta",I137="Página"),1,0)</f>
        <v/>
      </c>
    </row>
    <row r="138">
      <c r="A138" s="3" t="n"/>
      <c r="B138" s="3" t="n"/>
      <c r="C138" s="3" t="n"/>
      <c r="D138" s="3" t="n"/>
      <c r="E138" s="3" t="n"/>
      <c r="F138" s="3" t="n"/>
      <c r="G138" s="4" t="n"/>
      <c r="H138" s="3" t="n"/>
      <c r="I138" s="3" t="n"/>
      <c r="J138" s="5">
        <f>IF(AND(D138="Venta",I138="Página"),1,0)</f>
        <v/>
      </c>
    </row>
    <row r="139">
      <c r="A139" s="3" t="n"/>
      <c r="B139" s="3" t="n"/>
      <c r="C139" s="3" t="n"/>
      <c r="D139" s="3" t="n"/>
      <c r="E139" s="3" t="n"/>
      <c r="F139" s="3" t="n"/>
      <c r="G139" s="4" t="n"/>
      <c r="H139" s="3" t="n"/>
      <c r="I139" s="3" t="n"/>
      <c r="J139" s="5">
        <f>IF(AND(D139="Venta",I139="Página"),1,0)</f>
        <v/>
      </c>
    </row>
    <row r="140">
      <c r="A140" s="3" t="n"/>
      <c r="B140" s="3" t="n"/>
      <c r="C140" s="3" t="n"/>
      <c r="D140" s="3" t="n"/>
      <c r="E140" s="3" t="n"/>
      <c r="F140" s="3" t="n"/>
      <c r="G140" s="4" t="n"/>
      <c r="H140" s="3" t="n"/>
      <c r="I140" s="3" t="n"/>
      <c r="J140" s="5">
        <f>IF(AND(D140="Venta",I140="Página"),1,0)</f>
        <v/>
      </c>
    </row>
    <row r="141">
      <c r="A141" s="3" t="n"/>
      <c r="B141" s="3" t="n"/>
      <c r="C141" s="3" t="n"/>
      <c r="D141" s="3" t="n"/>
      <c r="E141" s="3" t="n"/>
      <c r="F141" s="3" t="n"/>
      <c r="G141" s="4" t="n"/>
      <c r="H141" s="3" t="n"/>
      <c r="I141" s="3" t="n"/>
      <c r="J141" s="5">
        <f>IF(AND(D141="Venta",I141="Página"),1,0)</f>
        <v/>
      </c>
    </row>
    <row r="142">
      <c r="A142" s="3" t="n"/>
      <c r="B142" s="3" t="n"/>
      <c r="C142" s="3" t="n"/>
      <c r="D142" s="3" t="n"/>
      <c r="E142" s="3" t="n"/>
      <c r="F142" s="3" t="n"/>
      <c r="G142" s="4" t="n"/>
      <c r="H142" s="3" t="n"/>
      <c r="I142" s="3" t="n"/>
      <c r="J142" s="5">
        <f>IF(AND(D142="Venta",I142="Página"),1,0)</f>
        <v/>
      </c>
    </row>
    <row r="143">
      <c r="A143" s="3" t="n"/>
      <c r="B143" s="3" t="n"/>
      <c r="C143" s="3" t="n"/>
      <c r="D143" s="3" t="n"/>
      <c r="E143" s="3" t="n"/>
      <c r="F143" s="3" t="n"/>
      <c r="G143" s="4" t="n"/>
      <c r="H143" s="3" t="n"/>
      <c r="I143" s="3" t="n"/>
      <c r="J143" s="5">
        <f>IF(AND(D143="Venta",I143="Página"),1,0)</f>
        <v/>
      </c>
    </row>
    <row r="144">
      <c r="A144" s="3" t="n"/>
      <c r="B144" s="3" t="n"/>
      <c r="C144" s="3" t="n"/>
      <c r="D144" s="3" t="n"/>
      <c r="E144" s="3" t="n"/>
      <c r="F144" s="3" t="n"/>
      <c r="G144" s="4" t="n"/>
      <c r="H144" s="3" t="n"/>
      <c r="I144" s="3" t="n"/>
      <c r="J144" s="5">
        <f>IF(AND(D144="Venta",I144="Página"),1,0)</f>
        <v/>
      </c>
    </row>
    <row r="145">
      <c r="A145" s="3" t="n"/>
      <c r="B145" s="3" t="n"/>
      <c r="C145" s="3" t="n"/>
      <c r="D145" s="3" t="n"/>
      <c r="E145" s="3" t="n"/>
      <c r="F145" s="3" t="n"/>
      <c r="G145" s="4" t="n"/>
      <c r="H145" s="3" t="n"/>
      <c r="I145" s="3" t="n"/>
      <c r="J145" s="5">
        <f>IF(AND(D145="Venta",I145="Página"),1,0)</f>
        <v/>
      </c>
    </row>
    <row r="146">
      <c r="A146" s="3" t="n"/>
      <c r="B146" s="3" t="n"/>
      <c r="C146" s="3" t="n"/>
      <c r="D146" s="3" t="n"/>
      <c r="E146" s="3" t="n"/>
      <c r="F146" s="3" t="n"/>
      <c r="G146" s="4" t="n"/>
      <c r="H146" s="3" t="n"/>
      <c r="I146" s="3" t="n"/>
      <c r="J146" s="5">
        <f>IF(AND(D146="Venta",I146="Página"),1,0)</f>
        <v/>
      </c>
    </row>
    <row r="147">
      <c r="A147" s="3" t="n"/>
      <c r="B147" s="3" t="n"/>
      <c r="C147" s="3" t="n"/>
      <c r="D147" s="3" t="n"/>
      <c r="E147" s="3" t="n"/>
      <c r="F147" s="3" t="n"/>
      <c r="G147" s="4" t="n"/>
      <c r="H147" s="3" t="n"/>
      <c r="I147" s="3" t="n"/>
      <c r="J147" s="5">
        <f>IF(AND(D147="Venta",I147="Página"),1,0)</f>
        <v/>
      </c>
    </row>
    <row r="148">
      <c r="A148" s="3" t="n"/>
      <c r="B148" s="3" t="n"/>
      <c r="C148" s="3" t="n"/>
      <c r="D148" s="3" t="n"/>
      <c r="E148" s="3" t="n"/>
      <c r="F148" s="3" t="n"/>
      <c r="G148" s="4" t="n"/>
      <c r="H148" s="3" t="n"/>
      <c r="I148" s="3" t="n"/>
      <c r="J148" s="5">
        <f>IF(AND(D148="Venta",I148="Página"),1,0)</f>
        <v/>
      </c>
    </row>
    <row r="149">
      <c r="A149" s="3" t="n"/>
      <c r="B149" s="3" t="n"/>
      <c r="C149" s="3" t="n"/>
      <c r="D149" s="3" t="n"/>
      <c r="E149" s="3" t="n"/>
      <c r="F149" s="3" t="n"/>
      <c r="G149" s="4" t="n"/>
      <c r="H149" s="3" t="n"/>
      <c r="I149" s="3" t="n"/>
      <c r="J149" s="5">
        <f>IF(AND(D149="Venta",I149="Página"),1,0)</f>
        <v/>
      </c>
    </row>
    <row r="150">
      <c r="A150" s="3" t="n"/>
      <c r="B150" s="3" t="n"/>
      <c r="C150" s="3" t="n"/>
      <c r="D150" s="3" t="n"/>
      <c r="E150" s="3" t="n"/>
      <c r="F150" s="3" t="n"/>
      <c r="G150" s="4" t="n"/>
      <c r="H150" s="3" t="n"/>
      <c r="I150" s="3" t="n"/>
      <c r="J150" s="5">
        <f>IF(AND(D150="Venta",I150="Página"),1,0)</f>
        <v/>
      </c>
    </row>
    <row r="151">
      <c r="A151" s="3" t="n"/>
      <c r="B151" s="3" t="n"/>
      <c r="C151" s="3" t="n"/>
      <c r="D151" s="3" t="n"/>
      <c r="E151" s="3" t="n"/>
      <c r="F151" s="3" t="n"/>
      <c r="G151" s="4" t="n"/>
      <c r="H151" s="3" t="n"/>
      <c r="I151" s="3" t="n"/>
      <c r="J151" s="5">
        <f>IF(AND(D151="Venta",I151="Página"),1,0)</f>
        <v/>
      </c>
    </row>
    <row r="152">
      <c r="A152" s="3" t="n"/>
      <c r="B152" s="3" t="n"/>
      <c r="C152" s="3" t="n"/>
      <c r="D152" s="3" t="n"/>
      <c r="E152" s="3" t="n"/>
      <c r="F152" s="3" t="n"/>
      <c r="G152" s="4" t="n"/>
      <c r="H152" s="3" t="n"/>
      <c r="I152" s="3" t="n"/>
      <c r="J152" s="5">
        <f>IF(AND(D152="Venta",I152="Página"),1,0)</f>
        <v/>
      </c>
    </row>
    <row r="153">
      <c r="A153" s="3" t="n"/>
      <c r="B153" s="3" t="n"/>
      <c r="C153" s="3" t="n"/>
      <c r="D153" s="3" t="n"/>
      <c r="E153" s="3" t="n"/>
      <c r="F153" s="3" t="n"/>
      <c r="G153" s="4" t="n"/>
      <c r="H153" s="3" t="n"/>
      <c r="I153" s="3" t="n"/>
      <c r="J153" s="5">
        <f>IF(AND(D153="Venta",I153="Página"),1,0)</f>
        <v/>
      </c>
    </row>
    <row r="154">
      <c r="A154" s="3" t="n"/>
      <c r="B154" s="3" t="n"/>
      <c r="C154" s="3" t="n"/>
      <c r="D154" s="3" t="n"/>
      <c r="E154" s="3" t="n"/>
      <c r="F154" s="3" t="n"/>
      <c r="G154" s="4" t="n"/>
      <c r="H154" s="3" t="n"/>
      <c r="I154" s="3" t="n"/>
      <c r="J154" s="5">
        <f>IF(AND(D154="Venta",I154="Página"),1,0)</f>
        <v/>
      </c>
    </row>
    <row r="155">
      <c r="A155" s="3" t="n"/>
      <c r="B155" s="3" t="n"/>
      <c r="C155" s="3" t="n"/>
      <c r="D155" s="3" t="n"/>
      <c r="E155" s="3" t="n"/>
      <c r="F155" s="3" t="n"/>
      <c r="G155" s="4" t="n"/>
      <c r="H155" s="3" t="n"/>
      <c r="I155" s="3" t="n"/>
      <c r="J155" s="5">
        <f>IF(AND(D155="Venta",I155="Página"),1,0)</f>
        <v/>
      </c>
    </row>
    <row r="156">
      <c r="A156" s="3" t="n"/>
      <c r="B156" s="3" t="n"/>
      <c r="C156" s="3" t="n"/>
      <c r="D156" s="3" t="n"/>
      <c r="E156" s="3" t="n"/>
      <c r="F156" s="3" t="n"/>
      <c r="G156" s="4" t="n"/>
      <c r="H156" s="3" t="n"/>
      <c r="I156" s="3" t="n"/>
      <c r="J156" s="5">
        <f>IF(AND(D156="Venta",I156="Página"),1,0)</f>
        <v/>
      </c>
    </row>
    <row r="157">
      <c r="A157" s="3" t="n"/>
      <c r="B157" s="3" t="n"/>
      <c r="C157" s="3" t="n"/>
      <c r="D157" s="3" t="n"/>
      <c r="E157" s="3" t="n"/>
      <c r="F157" s="3" t="n"/>
      <c r="G157" s="4" t="n"/>
      <c r="H157" s="3" t="n"/>
      <c r="I157" s="3" t="n"/>
      <c r="J157" s="5">
        <f>IF(AND(D157="Venta",I157="Página"),1,0)</f>
        <v/>
      </c>
    </row>
    <row r="158">
      <c r="A158" s="3" t="n"/>
      <c r="B158" s="3" t="n"/>
      <c r="C158" s="3" t="n"/>
      <c r="D158" s="3" t="n"/>
      <c r="E158" s="3" t="n"/>
      <c r="F158" s="3" t="n"/>
      <c r="G158" s="4" t="n"/>
      <c r="H158" s="3" t="n"/>
      <c r="I158" s="3" t="n"/>
      <c r="J158" s="5">
        <f>IF(AND(D158="Venta",I158="Página"),1,0)</f>
        <v/>
      </c>
    </row>
    <row r="159">
      <c r="A159" s="3" t="n"/>
      <c r="B159" s="3" t="n"/>
      <c r="C159" s="3" t="n"/>
      <c r="D159" s="3" t="n"/>
      <c r="E159" s="3" t="n"/>
      <c r="F159" s="3" t="n"/>
      <c r="G159" s="4" t="n"/>
      <c r="H159" s="3" t="n"/>
      <c r="I159" s="3" t="n"/>
      <c r="J159" s="5">
        <f>IF(AND(D159="Venta",I159="Página"),1,0)</f>
        <v/>
      </c>
    </row>
    <row r="160">
      <c r="A160" s="3" t="n"/>
      <c r="B160" s="3" t="n"/>
      <c r="C160" s="3" t="n"/>
      <c r="D160" s="3" t="n"/>
      <c r="E160" s="3" t="n"/>
      <c r="F160" s="3" t="n"/>
      <c r="G160" s="4" t="n"/>
      <c r="H160" s="3" t="n"/>
      <c r="I160" s="3" t="n"/>
      <c r="J160" s="5">
        <f>IF(AND(D160="Venta",I160="Página"),1,0)</f>
        <v/>
      </c>
    </row>
    <row r="161">
      <c r="A161" s="3" t="n"/>
      <c r="B161" s="3" t="n"/>
      <c r="C161" s="3" t="n"/>
      <c r="D161" s="3" t="n"/>
      <c r="E161" s="3" t="n"/>
      <c r="F161" s="3" t="n"/>
      <c r="G161" s="4" t="n"/>
      <c r="H161" s="3" t="n"/>
      <c r="I161" s="3" t="n"/>
      <c r="J161" s="5">
        <f>IF(AND(D161="Venta",I161="Página"),1,0)</f>
        <v/>
      </c>
    </row>
    <row r="162">
      <c r="A162" s="3" t="n"/>
      <c r="B162" s="3" t="n"/>
      <c r="C162" s="3" t="n"/>
      <c r="D162" s="3" t="n"/>
      <c r="E162" s="3" t="n"/>
      <c r="F162" s="3" t="n"/>
      <c r="G162" s="4" t="n"/>
      <c r="H162" s="3" t="n"/>
      <c r="I162" s="3" t="n"/>
      <c r="J162" s="5">
        <f>IF(AND(D162="Venta",I162="Página"),1,0)</f>
        <v/>
      </c>
    </row>
    <row r="163">
      <c r="A163" s="3" t="n"/>
      <c r="B163" s="3" t="n"/>
      <c r="C163" s="3" t="n"/>
      <c r="D163" s="3" t="n"/>
      <c r="E163" s="3" t="n"/>
      <c r="F163" s="3" t="n"/>
      <c r="G163" s="4" t="n"/>
      <c r="H163" s="3" t="n"/>
      <c r="I163" s="3" t="n"/>
      <c r="J163" s="5">
        <f>IF(AND(D163="Venta",I163="Página"),1,0)</f>
        <v/>
      </c>
    </row>
    <row r="164">
      <c r="A164" s="3" t="n"/>
      <c r="B164" s="3" t="n"/>
      <c r="C164" s="3" t="n"/>
      <c r="D164" s="3" t="n"/>
      <c r="E164" s="3" t="n"/>
      <c r="F164" s="3" t="n"/>
      <c r="G164" s="4" t="n"/>
      <c r="H164" s="3" t="n"/>
      <c r="I164" s="3" t="n"/>
      <c r="J164" s="5">
        <f>IF(AND(D164="Venta",I164="Página"),1,0)</f>
        <v/>
      </c>
    </row>
    <row r="165">
      <c r="A165" s="3" t="n"/>
      <c r="B165" s="3" t="n"/>
      <c r="C165" s="3" t="n"/>
      <c r="D165" s="3" t="n"/>
      <c r="E165" s="3" t="n"/>
      <c r="F165" s="3" t="n"/>
      <c r="G165" s="4" t="n"/>
      <c r="H165" s="3" t="n"/>
      <c r="I165" s="3" t="n"/>
      <c r="J165" s="5">
        <f>IF(AND(D165="Venta",I165="Página"),1,0)</f>
        <v/>
      </c>
    </row>
    <row r="166">
      <c r="A166" s="3" t="n"/>
      <c r="B166" s="3" t="n"/>
      <c r="C166" s="3" t="n"/>
      <c r="D166" s="3" t="n"/>
      <c r="E166" s="3" t="n"/>
      <c r="F166" s="3" t="n"/>
      <c r="G166" s="4" t="n"/>
      <c r="H166" s="3" t="n"/>
      <c r="I166" s="3" t="n"/>
      <c r="J166" s="5">
        <f>IF(AND(D166="Venta",I166="Página"),1,0)</f>
        <v/>
      </c>
    </row>
    <row r="167">
      <c r="A167" s="3" t="n"/>
      <c r="B167" s="3" t="n"/>
      <c r="C167" s="3" t="n"/>
      <c r="D167" s="3" t="n"/>
      <c r="E167" s="3" t="n"/>
      <c r="F167" s="3" t="n"/>
      <c r="G167" s="4" t="n"/>
      <c r="H167" s="3" t="n"/>
      <c r="I167" s="3" t="n"/>
      <c r="J167" s="5">
        <f>IF(AND(D167="Venta",I167="Página"),1,0)</f>
        <v/>
      </c>
    </row>
    <row r="168">
      <c r="A168" s="3" t="n"/>
      <c r="B168" s="3" t="n"/>
      <c r="C168" s="3" t="n"/>
      <c r="D168" s="3" t="n"/>
      <c r="E168" s="3" t="n"/>
      <c r="F168" s="3" t="n"/>
      <c r="G168" s="4" t="n"/>
      <c r="H168" s="3" t="n"/>
      <c r="I168" s="3" t="n"/>
      <c r="J168" s="5">
        <f>IF(AND(D168="Venta",I168="Página"),1,0)</f>
        <v/>
      </c>
    </row>
    <row r="169">
      <c r="A169" s="3" t="n"/>
      <c r="B169" s="3" t="n"/>
      <c r="C169" s="3" t="n"/>
      <c r="D169" s="3" t="n"/>
      <c r="E169" s="3" t="n"/>
      <c r="F169" s="3" t="n"/>
      <c r="G169" s="4" t="n"/>
      <c r="H169" s="3" t="n"/>
      <c r="I169" s="3" t="n"/>
      <c r="J169" s="5">
        <f>IF(AND(D169="Venta",I169="Página"),1,0)</f>
        <v/>
      </c>
    </row>
    <row r="170">
      <c r="A170" s="3" t="n"/>
      <c r="B170" s="3" t="n"/>
      <c r="C170" s="3" t="n"/>
      <c r="D170" s="3" t="n"/>
      <c r="E170" s="3" t="n"/>
      <c r="F170" s="3" t="n"/>
      <c r="G170" s="4" t="n"/>
      <c r="H170" s="3" t="n"/>
      <c r="I170" s="3" t="n"/>
      <c r="J170" s="5">
        <f>IF(AND(D170="Venta",I170="Página"),1,0)</f>
        <v/>
      </c>
    </row>
    <row r="171">
      <c r="A171" s="3" t="n"/>
      <c r="B171" s="3" t="n"/>
      <c r="C171" s="3" t="n"/>
      <c r="D171" s="3" t="n"/>
      <c r="E171" s="3" t="n"/>
      <c r="F171" s="3" t="n"/>
      <c r="G171" s="4" t="n"/>
      <c r="H171" s="3" t="n"/>
      <c r="I171" s="3" t="n"/>
      <c r="J171" s="5">
        <f>IF(AND(D171="Venta",I171="Página"),1,0)</f>
        <v/>
      </c>
    </row>
    <row r="172">
      <c r="A172" s="3" t="n"/>
      <c r="B172" s="3" t="n"/>
      <c r="C172" s="3" t="n"/>
      <c r="D172" s="3" t="n"/>
      <c r="E172" s="3" t="n"/>
      <c r="F172" s="3" t="n"/>
      <c r="G172" s="4" t="n"/>
      <c r="H172" s="3" t="n"/>
      <c r="I172" s="3" t="n"/>
      <c r="J172" s="5">
        <f>IF(AND(D172="Venta",I172="Página"),1,0)</f>
        <v/>
      </c>
    </row>
    <row r="173">
      <c r="A173" s="3" t="n"/>
      <c r="B173" s="3" t="n"/>
      <c r="C173" s="3" t="n"/>
      <c r="D173" s="3" t="n"/>
      <c r="E173" s="3" t="n"/>
      <c r="F173" s="3" t="n"/>
      <c r="G173" s="4" t="n"/>
      <c r="H173" s="3" t="n"/>
      <c r="I173" s="3" t="n"/>
      <c r="J173" s="5">
        <f>IF(AND(D173="Venta",I173="Página"),1,0)</f>
        <v/>
      </c>
    </row>
    <row r="174">
      <c r="A174" s="3" t="n"/>
      <c r="B174" s="3" t="n"/>
      <c r="C174" s="3" t="n"/>
      <c r="D174" s="3" t="n"/>
      <c r="E174" s="3" t="n"/>
      <c r="F174" s="3" t="n"/>
      <c r="G174" s="4" t="n"/>
      <c r="H174" s="3" t="n"/>
      <c r="I174" s="3" t="n"/>
      <c r="J174" s="5">
        <f>IF(AND(D174="Venta",I174="Página"),1,0)</f>
        <v/>
      </c>
    </row>
    <row r="175">
      <c r="A175" s="3" t="n"/>
      <c r="B175" s="3" t="n"/>
      <c r="C175" s="3" t="n"/>
      <c r="D175" s="3" t="n"/>
      <c r="E175" s="3" t="n"/>
      <c r="F175" s="3" t="n"/>
      <c r="G175" s="4" t="n"/>
      <c r="H175" s="3" t="n"/>
      <c r="I175" s="3" t="n"/>
      <c r="J175" s="5">
        <f>IF(AND(D175="Venta",I175="Página"),1,0)</f>
        <v/>
      </c>
    </row>
    <row r="176">
      <c r="A176" s="3" t="n"/>
      <c r="B176" s="3" t="n"/>
      <c r="C176" s="3" t="n"/>
      <c r="D176" s="3" t="n"/>
      <c r="E176" s="3" t="n"/>
      <c r="F176" s="3" t="n"/>
      <c r="G176" s="4" t="n"/>
      <c r="H176" s="3" t="n"/>
      <c r="I176" s="3" t="n"/>
      <c r="J176" s="5">
        <f>IF(AND(D176="Venta",I176="Página"),1,0)</f>
        <v/>
      </c>
    </row>
    <row r="177">
      <c r="A177" s="3" t="n"/>
      <c r="B177" s="3" t="n"/>
      <c r="C177" s="3" t="n"/>
      <c r="D177" s="3" t="n"/>
      <c r="E177" s="3" t="n"/>
      <c r="F177" s="3" t="n"/>
      <c r="G177" s="4" t="n"/>
      <c r="H177" s="3" t="n"/>
      <c r="I177" s="3" t="n"/>
      <c r="J177" s="5">
        <f>IF(AND(D177="Venta",I177="Página"),1,0)</f>
        <v/>
      </c>
    </row>
    <row r="178">
      <c r="A178" s="3" t="n"/>
      <c r="B178" s="3" t="n"/>
      <c r="C178" s="3" t="n"/>
      <c r="D178" s="3" t="n"/>
      <c r="E178" s="3" t="n"/>
      <c r="F178" s="3" t="n"/>
      <c r="G178" s="4" t="n"/>
      <c r="H178" s="3" t="n"/>
      <c r="I178" s="3" t="n"/>
      <c r="J178" s="5">
        <f>IF(AND(D178="Venta",I178="Página"),1,0)</f>
        <v/>
      </c>
    </row>
    <row r="179">
      <c r="A179" s="3" t="n"/>
      <c r="B179" s="3" t="n"/>
      <c r="C179" s="3" t="n"/>
      <c r="D179" s="3" t="n"/>
      <c r="E179" s="3" t="n"/>
      <c r="F179" s="3" t="n"/>
      <c r="G179" s="4" t="n"/>
      <c r="H179" s="3" t="n"/>
      <c r="I179" s="3" t="n"/>
      <c r="J179" s="5">
        <f>IF(AND(D179="Venta",I179="Página"),1,0)</f>
        <v/>
      </c>
    </row>
    <row r="180">
      <c r="A180" s="3" t="n"/>
      <c r="B180" s="3" t="n"/>
      <c r="C180" s="3" t="n"/>
      <c r="D180" s="3" t="n"/>
      <c r="E180" s="3" t="n"/>
      <c r="F180" s="3" t="n"/>
      <c r="G180" s="4" t="n"/>
      <c r="H180" s="3" t="n"/>
      <c r="I180" s="3" t="n"/>
      <c r="J180" s="5">
        <f>IF(AND(D180="Venta",I180="Página"),1,0)</f>
        <v/>
      </c>
    </row>
    <row r="181">
      <c r="A181" s="3" t="n"/>
      <c r="B181" s="3" t="n"/>
      <c r="C181" s="3" t="n"/>
      <c r="D181" s="3" t="n"/>
      <c r="E181" s="3" t="n"/>
      <c r="F181" s="3" t="n"/>
      <c r="G181" s="4" t="n"/>
      <c r="H181" s="3" t="n"/>
      <c r="I181" s="3" t="n"/>
      <c r="J181" s="5">
        <f>IF(AND(D181="Venta",I181="Página"),1,0)</f>
        <v/>
      </c>
    </row>
    <row r="182">
      <c r="A182" s="3" t="n"/>
      <c r="B182" s="3" t="n"/>
      <c r="C182" s="3" t="n"/>
      <c r="D182" s="3" t="n"/>
      <c r="E182" s="3" t="n"/>
      <c r="F182" s="3" t="n"/>
      <c r="G182" s="4" t="n"/>
      <c r="H182" s="3" t="n"/>
      <c r="I182" s="3" t="n"/>
      <c r="J182" s="5">
        <f>IF(AND(D182="Venta",I182="Página"),1,0)</f>
        <v/>
      </c>
    </row>
    <row r="183">
      <c r="A183" s="3" t="n"/>
      <c r="B183" s="3" t="n"/>
      <c r="C183" s="3" t="n"/>
      <c r="D183" s="3" t="n"/>
      <c r="E183" s="3" t="n"/>
      <c r="F183" s="3" t="n"/>
      <c r="G183" s="4" t="n"/>
      <c r="H183" s="3" t="n"/>
      <c r="I183" s="3" t="n"/>
      <c r="J183" s="5">
        <f>IF(AND(D183="Venta",I183="Página"),1,0)</f>
        <v/>
      </c>
    </row>
    <row r="184">
      <c r="A184" s="3" t="n"/>
      <c r="B184" s="3" t="n"/>
      <c r="C184" s="3" t="n"/>
      <c r="D184" s="3" t="n"/>
      <c r="E184" s="3" t="n"/>
      <c r="F184" s="3" t="n"/>
      <c r="G184" s="4" t="n"/>
      <c r="H184" s="3" t="n"/>
      <c r="I184" s="3" t="n"/>
      <c r="J184" s="5">
        <f>IF(AND(D184="Venta",I184="Página"),1,0)</f>
        <v/>
      </c>
    </row>
    <row r="185">
      <c r="A185" s="3" t="n"/>
      <c r="B185" s="3" t="n"/>
      <c r="C185" s="3" t="n"/>
      <c r="D185" s="3" t="n"/>
      <c r="E185" s="3" t="n"/>
      <c r="F185" s="3" t="n"/>
      <c r="G185" s="4" t="n"/>
      <c r="H185" s="3" t="n"/>
      <c r="I185" s="3" t="n"/>
      <c r="J185" s="5">
        <f>IF(AND(D185="Venta",I185="Página"),1,0)</f>
        <v/>
      </c>
    </row>
    <row r="186">
      <c r="A186" s="3" t="n"/>
      <c r="B186" s="3" t="n"/>
      <c r="C186" s="3" t="n"/>
      <c r="D186" s="3" t="n"/>
      <c r="E186" s="3" t="n"/>
      <c r="F186" s="3" t="n"/>
      <c r="G186" s="4" t="n"/>
      <c r="H186" s="3" t="n"/>
      <c r="I186" s="3" t="n"/>
      <c r="J186" s="5">
        <f>IF(AND(D186="Venta",I186="Página"),1,0)</f>
        <v/>
      </c>
    </row>
    <row r="187">
      <c r="A187" s="3" t="n"/>
      <c r="B187" s="3" t="n"/>
      <c r="C187" s="3" t="n"/>
      <c r="D187" s="3" t="n"/>
      <c r="E187" s="3" t="n"/>
      <c r="F187" s="3" t="n"/>
      <c r="G187" s="4" t="n"/>
      <c r="H187" s="3" t="n"/>
      <c r="I187" s="3" t="n"/>
      <c r="J187" s="5">
        <f>IF(AND(D187="Venta",I187="Página"),1,0)</f>
        <v/>
      </c>
    </row>
    <row r="188">
      <c r="A188" s="3" t="n"/>
      <c r="B188" s="3" t="n"/>
      <c r="C188" s="3" t="n"/>
      <c r="D188" s="3" t="n"/>
      <c r="E188" s="3" t="n"/>
      <c r="F188" s="3" t="n"/>
      <c r="G188" s="4" t="n"/>
      <c r="H188" s="3" t="n"/>
      <c r="I188" s="3" t="n"/>
      <c r="J188" s="5">
        <f>IF(AND(D188="Venta",I188="Página"),1,0)</f>
        <v/>
      </c>
    </row>
    <row r="189">
      <c r="A189" s="3" t="n"/>
      <c r="B189" s="3" t="n"/>
      <c r="C189" s="3" t="n"/>
      <c r="D189" s="3" t="n"/>
      <c r="E189" s="3" t="n"/>
      <c r="F189" s="3" t="n"/>
      <c r="G189" s="4" t="n"/>
      <c r="H189" s="3" t="n"/>
      <c r="I189" s="3" t="n"/>
      <c r="J189" s="5">
        <f>IF(AND(D189="Venta",I189="Página"),1,0)</f>
        <v/>
      </c>
    </row>
    <row r="190">
      <c r="A190" s="3" t="n"/>
      <c r="B190" s="3" t="n"/>
      <c r="C190" s="3" t="n"/>
      <c r="D190" s="3" t="n"/>
      <c r="E190" s="3" t="n"/>
      <c r="F190" s="3" t="n"/>
      <c r="G190" s="4" t="n"/>
      <c r="H190" s="3" t="n"/>
      <c r="I190" s="3" t="n"/>
      <c r="J190" s="5">
        <f>IF(AND(D190="Venta",I190="Página"),1,0)</f>
        <v/>
      </c>
    </row>
    <row r="191">
      <c r="A191" s="3" t="n"/>
      <c r="B191" s="3" t="n"/>
      <c r="C191" s="3" t="n"/>
      <c r="D191" s="3" t="n"/>
      <c r="E191" s="3" t="n"/>
      <c r="F191" s="3" t="n"/>
      <c r="G191" s="4" t="n"/>
      <c r="H191" s="3" t="n"/>
      <c r="I191" s="3" t="n"/>
      <c r="J191" s="5">
        <f>IF(AND(D191="Venta",I191="Página"),1,0)</f>
        <v/>
      </c>
    </row>
    <row r="192">
      <c r="A192" s="3" t="n"/>
      <c r="B192" s="3" t="n"/>
      <c r="C192" s="3" t="n"/>
      <c r="D192" s="3" t="n"/>
      <c r="E192" s="3" t="n"/>
      <c r="F192" s="3" t="n"/>
      <c r="G192" s="4" t="n"/>
      <c r="H192" s="3" t="n"/>
      <c r="I192" s="3" t="n"/>
      <c r="J192" s="5">
        <f>IF(AND(D192="Venta",I192="Página"),1,0)</f>
        <v/>
      </c>
    </row>
    <row r="193">
      <c r="A193" s="3" t="n"/>
      <c r="B193" s="3" t="n"/>
      <c r="C193" s="3" t="n"/>
      <c r="D193" s="3" t="n"/>
      <c r="E193" s="3" t="n"/>
      <c r="F193" s="3" t="n"/>
      <c r="G193" s="4" t="n"/>
      <c r="H193" s="3" t="n"/>
      <c r="I193" s="3" t="n"/>
      <c r="J193" s="5">
        <f>IF(AND(D193="Venta",I193="Página"),1,0)</f>
        <v/>
      </c>
    </row>
    <row r="194">
      <c r="A194" s="3" t="n"/>
      <c r="B194" s="3" t="n"/>
      <c r="C194" s="3" t="n"/>
      <c r="D194" s="3" t="n"/>
      <c r="E194" s="3" t="n"/>
      <c r="F194" s="3" t="n"/>
      <c r="G194" s="4" t="n"/>
      <c r="H194" s="3" t="n"/>
      <c r="I194" s="3" t="n"/>
      <c r="J194" s="5">
        <f>IF(AND(D194="Venta",I194="Página"),1,0)</f>
        <v/>
      </c>
    </row>
    <row r="195">
      <c r="A195" s="3" t="n"/>
      <c r="B195" s="3" t="n"/>
      <c r="C195" s="3" t="n"/>
      <c r="D195" s="3" t="n"/>
      <c r="E195" s="3" t="n"/>
      <c r="F195" s="3" t="n"/>
      <c r="G195" s="4" t="n"/>
      <c r="H195" s="3" t="n"/>
      <c r="I195" s="3" t="n"/>
      <c r="J195" s="5">
        <f>IF(AND(D195="Venta",I195="Página"),1,0)</f>
        <v/>
      </c>
    </row>
    <row r="196">
      <c r="A196" s="3" t="n"/>
      <c r="B196" s="3" t="n"/>
      <c r="C196" s="3" t="n"/>
      <c r="D196" s="3" t="n"/>
      <c r="E196" s="3" t="n"/>
      <c r="F196" s="3" t="n"/>
      <c r="G196" s="4" t="n"/>
      <c r="H196" s="3" t="n"/>
      <c r="I196" s="3" t="n"/>
      <c r="J196" s="5">
        <f>IF(AND(D196="Venta",I196="Página"),1,0)</f>
        <v/>
      </c>
    </row>
    <row r="197">
      <c r="A197" s="3" t="n"/>
      <c r="B197" s="3" t="n"/>
      <c r="C197" s="3" t="n"/>
      <c r="D197" s="3" t="n"/>
      <c r="E197" s="3" t="n"/>
      <c r="F197" s="3" t="n"/>
      <c r="G197" s="4" t="n"/>
      <c r="H197" s="3" t="n"/>
      <c r="I197" s="3" t="n"/>
      <c r="J197" s="5">
        <f>IF(AND(D197="Venta",I197="Página"),1,0)</f>
        <v/>
      </c>
    </row>
    <row r="198">
      <c r="A198" s="3" t="n"/>
      <c r="B198" s="3" t="n"/>
      <c r="C198" s="3" t="n"/>
      <c r="D198" s="3" t="n"/>
      <c r="E198" s="3" t="n"/>
      <c r="F198" s="3" t="n"/>
      <c r="G198" s="4" t="n"/>
      <c r="H198" s="3" t="n"/>
      <c r="I198" s="3" t="n"/>
      <c r="J198" s="5">
        <f>IF(AND(D198="Venta",I198="Página"),1,0)</f>
        <v/>
      </c>
    </row>
    <row r="199">
      <c r="A199" s="3" t="n"/>
      <c r="B199" s="3" t="n"/>
      <c r="C199" s="3" t="n"/>
      <c r="D199" s="3" t="n"/>
      <c r="E199" s="3" t="n"/>
      <c r="F199" s="3" t="n"/>
      <c r="G199" s="4" t="n"/>
      <c r="H199" s="3" t="n"/>
      <c r="I199" s="3" t="n"/>
      <c r="J199" s="5">
        <f>IF(AND(D199="Venta",I199="Página"),1,0)</f>
        <v/>
      </c>
    </row>
    <row r="200">
      <c r="A200" s="3" t="n"/>
      <c r="B200" s="3" t="n"/>
      <c r="C200" s="3" t="n"/>
      <c r="D200" s="3" t="n"/>
      <c r="E200" s="3" t="n"/>
      <c r="F200" s="3" t="n"/>
      <c r="G200" s="4" t="n"/>
      <c r="H200" s="3" t="n"/>
      <c r="I200" s="3" t="n"/>
      <c r="J200" s="5">
        <f>IF(AND(D200="Venta",I200="Página"),1,0)</f>
        <v/>
      </c>
    </row>
    <row r="201">
      <c r="A201" s="3" t="n"/>
      <c r="B201" s="3" t="n"/>
      <c r="C201" s="3" t="n"/>
      <c r="D201" s="3" t="n"/>
      <c r="E201" s="3" t="n"/>
      <c r="F201" s="3" t="n"/>
      <c r="G201" s="4" t="n"/>
      <c r="H201" s="3" t="n"/>
      <c r="I201" s="3" t="n"/>
      <c r="J201" s="5">
        <f>IF(AND(D201="Venta",I201="Página"),1,0)</f>
        <v/>
      </c>
    </row>
    <row r="202">
      <c r="A202" s="3" t="n"/>
      <c r="B202" s="3" t="n"/>
      <c r="C202" s="3" t="n"/>
      <c r="D202" s="3" t="n"/>
      <c r="E202" s="3" t="n"/>
      <c r="F202" s="3" t="n"/>
      <c r="G202" s="4" t="n"/>
      <c r="H202" s="3" t="n"/>
      <c r="I202" s="3" t="n"/>
      <c r="J202" s="5">
        <f>IF(AND(D202="Venta",I202="Página"),1,0)</f>
        <v/>
      </c>
    </row>
    <row r="203">
      <c r="A203" s="3" t="n"/>
      <c r="B203" s="3" t="n"/>
      <c r="C203" s="3" t="n"/>
      <c r="D203" s="3" t="n"/>
      <c r="E203" s="3" t="n"/>
      <c r="F203" s="3" t="n"/>
      <c r="G203" s="4" t="n"/>
      <c r="H203" s="3" t="n"/>
      <c r="I203" s="3" t="n"/>
      <c r="J203" s="5">
        <f>IF(AND(D203="Venta",I203="Página"),1,0)</f>
        <v/>
      </c>
    </row>
    <row r="204">
      <c r="A204" s="3" t="n"/>
      <c r="B204" s="3" t="n"/>
      <c r="C204" s="3" t="n"/>
      <c r="D204" s="3" t="n"/>
      <c r="E204" s="3" t="n"/>
      <c r="F204" s="3" t="n"/>
      <c r="G204" s="4" t="n"/>
      <c r="H204" s="3" t="n"/>
      <c r="I204" s="3" t="n"/>
      <c r="J204" s="5">
        <f>IF(AND(D204="Venta",I204="Página"),1,0)</f>
        <v/>
      </c>
    </row>
    <row r="205">
      <c r="A205" s="3" t="n"/>
      <c r="B205" s="3" t="n"/>
      <c r="C205" s="3" t="n"/>
      <c r="D205" s="3" t="n"/>
      <c r="E205" s="3" t="n"/>
      <c r="F205" s="3" t="n"/>
      <c r="G205" s="4" t="n"/>
      <c r="H205" s="3" t="n"/>
      <c r="I205" s="3" t="n"/>
      <c r="J205" s="5">
        <f>IF(AND(D205="Venta",I205="Página"),1,0)</f>
        <v/>
      </c>
    </row>
    <row r="206">
      <c r="A206" s="3" t="n"/>
      <c r="B206" s="3" t="n"/>
      <c r="C206" s="3" t="n"/>
      <c r="D206" s="3" t="n"/>
      <c r="E206" s="3" t="n"/>
      <c r="F206" s="3" t="n"/>
      <c r="G206" s="4" t="n"/>
      <c r="H206" s="3" t="n"/>
      <c r="I206" s="3" t="n"/>
      <c r="J206" s="5">
        <f>IF(AND(D206="Venta",I206="Página"),1,0)</f>
        <v/>
      </c>
    </row>
    <row r="207">
      <c r="A207" s="3" t="n"/>
      <c r="B207" s="3" t="n"/>
      <c r="C207" s="3" t="n"/>
      <c r="D207" s="3" t="n"/>
      <c r="E207" s="3" t="n"/>
      <c r="F207" s="3" t="n"/>
      <c r="G207" s="4" t="n"/>
      <c r="H207" s="3" t="n"/>
      <c r="I207" s="3" t="n"/>
      <c r="J207" s="5">
        <f>IF(AND(D207="Venta",I207="Página"),1,0)</f>
        <v/>
      </c>
    </row>
    <row r="208">
      <c r="A208" s="3" t="n"/>
      <c r="B208" s="3" t="n"/>
      <c r="C208" s="3" t="n"/>
      <c r="D208" s="3" t="n"/>
      <c r="E208" s="3" t="n"/>
      <c r="F208" s="3" t="n"/>
      <c r="G208" s="4" t="n"/>
      <c r="H208" s="3" t="n"/>
      <c r="I208" s="3" t="n"/>
      <c r="J208" s="5">
        <f>IF(AND(D208="Venta",I208="Página"),1,0)</f>
        <v/>
      </c>
    </row>
    <row r="209">
      <c r="A209" s="3" t="n"/>
      <c r="B209" s="3" t="n"/>
      <c r="C209" s="3" t="n"/>
      <c r="D209" s="3" t="n"/>
      <c r="E209" s="3" t="n"/>
      <c r="F209" s="3" t="n"/>
      <c r="G209" s="4" t="n"/>
      <c r="H209" s="3" t="n"/>
      <c r="I209" s="3" t="n"/>
      <c r="J209" s="5">
        <f>IF(AND(D209="Venta",I209="Página"),1,0)</f>
        <v/>
      </c>
    </row>
    <row r="210">
      <c r="A210" s="3" t="n"/>
      <c r="B210" s="3" t="n"/>
      <c r="C210" s="3" t="n"/>
      <c r="D210" s="3" t="n"/>
      <c r="E210" s="3" t="n"/>
      <c r="F210" s="3" t="n"/>
      <c r="G210" s="4" t="n"/>
      <c r="H210" s="3" t="n"/>
      <c r="I210" s="3" t="n"/>
      <c r="J210" s="5">
        <f>IF(AND(D210="Venta",I210="Página"),1,0)</f>
        <v/>
      </c>
    </row>
    <row r="211">
      <c r="A211" s="3" t="n"/>
      <c r="B211" s="3" t="n"/>
      <c r="C211" s="3" t="n"/>
      <c r="D211" s="3" t="n"/>
      <c r="E211" s="3" t="n"/>
      <c r="F211" s="3" t="n"/>
      <c r="G211" s="4" t="n"/>
      <c r="H211" s="3" t="n"/>
      <c r="I211" s="3" t="n"/>
      <c r="J211" s="5">
        <f>IF(AND(D211="Venta",I211="Página"),1,0)</f>
        <v/>
      </c>
    </row>
    <row r="212">
      <c r="A212" s="3" t="n"/>
      <c r="B212" s="3" t="n"/>
      <c r="C212" s="3" t="n"/>
      <c r="D212" s="3" t="n"/>
      <c r="E212" s="3" t="n"/>
      <c r="F212" s="3" t="n"/>
      <c r="G212" s="4" t="n"/>
      <c r="H212" s="3" t="n"/>
      <c r="I212" s="3" t="n"/>
      <c r="J212" s="5">
        <f>IF(AND(D212="Venta",I212="Página"),1,0)</f>
        <v/>
      </c>
    </row>
    <row r="213">
      <c r="A213" s="3" t="n"/>
      <c r="B213" s="3" t="n"/>
      <c r="C213" s="3" t="n"/>
      <c r="D213" s="3" t="n"/>
      <c r="E213" s="3" t="n"/>
      <c r="F213" s="3" t="n"/>
      <c r="G213" s="4" t="n"/>
      <c r="H213" s="3" t="n"/>
      <c r="I213" s="3" t="n"/>
      <c r="J213" s="5">
        <f>IF(AND(D213="Venta",I213="Página"),1,0)</f>
        <v/>
      </c>
    </row>
    <row r="214">
      <c r="A214" s="3" t="n"/>
      <c r="B214" s="3" t="n"/>
      <c r="C214" s="3" t="n"/>
      <c r="D214" s="3" t="n"/>
      <c r="E214" s="3" t="n"/>
      <c r="F214" s="3" t="n"/>
      <c r="G214" s="4" t="n"/>
      <c r="H214" s="3" t="n"/>
      <c r="I214" s="3" t="n"/>
      <c r="J214" s="5">
        <f>IF(AND(D214="Venta",I214="Página"),1,0)</f>
        <v/>
      </c>
    </row>
    <row r="215">
      <c r="A215" s="3" t="n"/>
      <c r="B215" s="3" t="n"/>
      <c r="C215" s="3" t="n"/>
      <c r="D215" s="3" t="n"/>
      <c r="E215" s="3" t="n"/>
      <c r="F215" s="3" t="n"/>
      <c r="G215" s="4" t="n"/>
      <c r="H215" s="3" t="n"/>
      <c r="I215" s="3" t="n"/>
      <c r="J215" s="5">
        <f>IF(AND(D215="Venta",I215="Página"),1,0)</f>
        <v/>
      </c>
    </row>
    <row r="216">
      <c r="A216" s="3" t="n"/>
      <c r="B216" s="3" t="n"/>
      <c r="C216" s="3" t="n"/>
      <c r="D216" s="3" t="n"/>
      <c r="E216" s="3" t="n"/>
      <c r="F216" s="3" t="n"/>
      <c r="G216" s="4" t="n"/>
      <c r="H216" s="3" t="n"/>
      <c r="I216" s="3" t="n"/>
      <c r="J216" s="5">
        <f>IF(AND(D216="Venta",I216="Página"),1,0)</f>
        <v/>
      </c>
    </row>
    <row r="217">
      <c r="A217" s="3" t="n"/>
      <c r="B217" s="3" t="n"/>
      <c r="C217" s="3" t="n"/>
      <c r="D217" s="3" t="n"/>
      <c r="E217" s="3" t="n"/>
      <c r="F217" s="3" t="n"/>
      <c r="G217" s="4" t="n"/>
      <c r="H217" s="3" t="n"/>
      <c r="I217" s="3" t="n"/>
      <c r="J217" s="5">
        <f>IF(AND(D217="Venta",I217="Página"),1,0)</f>
        <v/>
      </c>
    </row>
    <row r="218">
      <c r="A218" s="3" t="n"/>
      <c r="B218" s="3" t="n"/>
      <c r="C218" s="3" t="n"/>
      <c r="D218" s="3" t="n"/>
      <c r="E218" s="3" t="n"/>
      <c r="F218" s="3" t="n"/>
      <c r="G218" s="4" t="n"/>
      <c r="H218" s="3" t="n"/>
      <c r="I218" s="3" t="n"/>
      <c r="J218" s="5">
        <f>IF(AND(D218="Venta",I218="Página"),1,0)</f>
        <v/>
      </c>
    </row>
    <row r="219">
      <c r="A219" s="3" t="n"/>
      <c r="B219" s="3" t="n"/>
      <c r="C219" s="3" t="n"/>
      <c r="D219" s="3" t="n"/>
      <c r="E219" s="3" t="n"/>
      <c r="F219" s="3" t="n"/>
      <c r="G219" s="4" t="n"/>
      <c r="H219" s="3" t="n"/>
      <c r="I219" s="3" t="n"/>
      <c r="J219" s="5">
        <f>IF(AND(D219="Venta",I219="Página"),1,0)</f>
        <v/>
      </c>
    </row>
    <row r="220">
      <c r="A220" s="3" t="n"/>
      <c r="B220" s="3" t="n"/>
      <c r="C220" s="3" t="n"/>
      <c r="D220" s="3" t="n"/>
      <c r="E220" s="3" t="n"/>
      <c r="F220" s="3" t="n"/>
      <c r="G220" s="4" t="n"/>
      <c r="H220" s="3" t="n"/>
      <c r="I220" s="3" t="n"/>
      <c r="J220" s="5">
        <f>IF(AND(D220="Venta",I220="Página"),1,0)</f>
        <v/>
      </c>
    </row>
    <row r="221">
      <c r="A221" s="3" t="n"/>
      <c r="B221" s="3" t="n"/>
      <c r="C221" s="3" t="n"/>
      <c r="D221" s="3" t="n"/>
      <c r="E221" s="3" t="n"/>
      <c r="F221" s="3" t="n"/>
      <c r="G221" s="4" t="n"/>
      <c r="H221" s="3" t="n"/>
      <c r="I221" s="3" t="n"/>
      <c r="J221" s="5">
        <f>IF(AND(D221="Venta",I221="Página"),1,0)</f>
        <v/>
      </c>
    </row>
    <row r="222">
      <c r="A222" s="3" t="n"/>
      <c r="B222" s="3" t="n"/>
      <c r="C222" s="3" t="n"/>
      <c r="D222" s="3" t="n"/>
      <c r="E222" s="3" t="n"/>
      <c r="F222" s="3" t="n"/>
      <c r="G222" s="4" t="n"/>
      <c r="H222" s="3" t="n"/>
      <c r="I222" s="3" t="n"/>
      <c r="J222" s="5">
        <f>IF(AND(D222="Venta",I222="Página"),1,0)</f>
        <v/>
      </c>
    </row>
    <row r="223">
      <c r="A223" s="3" t="n"/>
      <c r="B223" s="3" t="n"/>
      <c r="C223" s="3" t="n"/>
      <c r="D223" s="3" t="n"/>
      <c r="E223" s="3" t="n"/>
      <c r="F223" s="3" t="n"/>
      <c r="G223" s="4" t="n"/>
      <c r="H223" s="3" t="n"/>
      <c r="I223" s="3" t="n"/>
      <c r="J223" s="5">
        <f>IF(AND(D223="Venta",I223="Página"),1,0)</f>
        <v/>
      </c>
    </row>
    <row r="224">
      <c r="A224" s="3" t="n"/>
      <c r="B224" s="3" t="n"/>
      <c r="C224" s="3" t="n"/>
      <c r="D224" s="3" t="n"/>
      <c r="E224" s="3" t="n"/>
      <c r="F224" s="3" t="n"/>
      <c r="G224" s="4" t="n"/>
      <c r="H224" s="3" t="n"/>
      <c r="I224" s="3" t="n"/>
      <c r="J224" s="5">
        <f>IF(AND(D224="Venta",I224="Página"),1,0)</f>
        <v/>
      </c>
    </row>
    <row r="225">
      <c r="A225" s="3" t="n"/>
      <c r="B225" s="3" t="n"/>
      <c r="C225" s="3" t="n"/>
      <c r="D225" s="3" t="n"/>
      <c r="E225" s="3" t="n"/>
      <c r="F225" s="3" t="n"/>
      <c r="G225" s="4" t="n"/>
      <c r="H225" s="3" t="n"/>
      <c r="I225" s="3" t="n"/>
      <c r="J225" s="5">
        <f>IF(AND(D225="Venta",I225="Página"),1,0)</f>
        <v/>
      </c>
    </row>
    <row r="226">
      <c r="A226" s="3" t="n"/>
      <c r="B226" s="3" t="n"/>
      <c r="C226" s="3" t="n"/>
      <c r="D226" s="3" t="n"/>
      <c r="E226" s="3" t="n"/>
      <c r="F226" s="3" t="n"/>
      <c r="G226" s="4" t="n"/>
      <c r="H226" s="3" t="n"/>
      <c r="I226" s="3" t="n"/>
      <c r="J226" s="5">
        <f>IF(AND(D226="Venta",I226="Página"),1,0)</f>
        <v/>
      </c>
    </row>
    <row r="227">
      <c r="A227" s="3" t="n"/>
      <c r="B227" s="3" t="n"/>
      <c r="C227" s="3" t="n"/>
      <c r="D227" s="3" t="n"/>
      <c r="E227" s="3" t="n"/>
      <c r="F227" s="3" t="n"/>
      <c r="G227" s="4" t="n"/>
      <c r="H227" s="3" t="n"/>
      <c r="I227" s="3" t="n"/>
      <c r="J227" s="5">
        <f>IF(AND(D227="Venta",I227="Página"),1,0)</f>
        <v/>
      </c>
    </row>
    <row r="228">
      <c r="A228" s="3" t="n"/>
      <c r="B228" s="3" t="n"/>
      <c r="C228" s="3" t="n"/>
      <c r="D228" s="3" t="n"/>
      <c r="E228" s="3" t="n"/>
      <c r="F228" s="3" t="n"/>
      <c r="G228" s="4" t="n"/>
      <c r="H228" s="3" t="n"/>
      <c r="I228" s="3" t="n"/>
      <c r="J228" s="5">
        <f>IF(AND(D228="Venta",I228="Página"),1,0)</f>
        <v/>
      </c>
    </row>
    <row r="229">
      <c r="A229" s="3" t="n"/>
      <c r="B229" s="3" t="n"/>
      <c r="C229" s="3" t="n"/>
      <c r="D229" s="3" t="n"/>
      <c r="E229" s="3" t="n"/>
      <c r="F229" s="3" t="n"/>
      <c r="G229" s="4" t="n"/>
      <c r="H229" s="3" t="n"/>
      <c r="I229" s="3" t="n"/>
      <c r="J229" s="5">
        <f>IF(AND(D229="Venta",I229="Página"),1,0)</f>
        <v/>
      </c>
    </row>
    <row r="230">
      <c r="A230" s="3" t="n"/>
      <c r="B230" s="3" t="n"/>
      <c r="C230" s="3" t="n"/>
      <c r="D230" s="3" t="n"/>
      <c r="E230" s="3" t="n"/>
      <c r="F230" s="3" t="n"/>
      <c r="G230" s="4" t="n"/>
      <c r="H230" s="3" t="n"/>
      <c r="I230" s="3" t="n"/>
      <c r="J230" s="5">
        <f>IF(AND(D230="Venta",I230="Página"),1,0)</f>
        <v/>
      </c>
    </row>
    <row r="231">
      <c r="A231" s="3" t="n"/>
      <c r="B231" s="3" t="n"/>
      <c r="C231" s="3" t="n"/>
      <c r="D231" s="3" t="n"/>
      <c r="E231" s="3" t="n"/>
      <c r="F231" s="3" t="n"/>
      <c r="G231" s="4" t="n"/>
      <c r="H231" s="3" t="n"/>
      <c r="I231" s="3" t="n"/>
      <c r="J231" s="5">
        <f>IF(AND(D231="Venta",I231="Página"),1,0)</f>
        <v/>
      </c>
    </row>
    <row r="232">
      <c r="A232" s="3" t="n"/>
      <c r="B232" s="3" t="n"/>
      <c r="C232" s="3" t="n"/>
      <c r="D232" s="3" t="n"/>
      <c r="E232" s="3" t="n"/>
      <c r="F232" s="3" t="n"/>
      <c r="G232" s="4" t="n"/>
      <c r="H232" s="3" t="n"/>
      <c r="I232" s="3" t="n"/>
      <c r="J232" s="5">
        <f>IF(AND(D232="Venta",I232="Página"),1,0)</f>
        <v/>
      </c>
    </row>
    <row r="233">
      <c r="A233" s="3" t="n"/>
      <c r="B233" s="3" t="n"/>
      <c r="C233" s="3" t="n"/>
      <c r="D233" s="3" t="n"/>
      <c r="E233" s="3" t="n"/>
      <c r="F233" s="3" t="n"/>
      <c r="G233" s="4" t="n"/>
      <c r="H233" s="3" t="n"/>
      <c r="I233" s="3" t="n"/>
      <c r="J233" s="5">
        <f>IF(AND(D233="Venta",I233="Página"),1,0)</f>
        <v/>
      </c>
    </row>
    <row r="234">
      <c r="A234" s="3" t="n"/>
      <c r="B234" s="3" t="n"/>
      <c r="C234" s="3" t="n"/>
      <c r="D234" s="3" t="n"/>
      <c r="E234" s="3" t="n"/>
      <c r="F234" s="3" t="n"/>
      <c r="G234" s="4" t="n"/>
      <c r="H234" s="3" t="n"/>
      <c r="I234" s="3" t="n"/>
      <c r="J234" s="5">
        <f>IF(AND(D234="Venta",I234="Página"),1,0)</f>
        <v/>
      </c>
    </row>
    <row r="235">
      <c r="A235" s="3" t="n"/>
      <c r="B235" s="3" t="n"/>
      <c r="C235" s="3" t="n"/>
      <c r="D235" s="3" t="n"/>
      <c r="E235" s="3" t="n"/>
      <c r="F235" s="3" t="n"/>
      <c r="G235" s="4" t="n"/>
      <c r="H235" s="3" t="n"/>
      <c r="I235" s="3" t="n"/>
      <c r="J235" s="5">
        <f>IF(AND(D235="Venta",I235="Página"),1,0)</f>
        <v/>
      </c>
    </row>
    <row r="236">
      <c r="A236" s="3" t="n"/>
      <c r="B236" s="3" t="n"/>
      <c r="C236" s="3" t="n"/>
      <c r="D236" s="3" t="n"/>
      <c r="E236" s="3" t="n"/>
      <c r="F236" s="3" t="n"/>
      <c r="G236" s="4" t="n"/>
      <c r="H236" s="3" t="n"/>
      <c r="I236" s="3" t="n"/>
      <c r="J236" s="5">
        <f>IF(AND(D236="Venta",I236="Página"),1,0)</f>
        <v/>
      </c>
    </row>
    <row r="237">
      <c r="A237" s="3" t="n"/>
      <c r="B237" s="3" t="n"/>
      <c r="C237" s="3" t="n"/>
      <c r="D237" s="3" t="n"/>
      <c r="E237" s="3" t="n"/>
      <c r="F237" s="3" t="n"/>
      <c r="G237" s="4" t="n"/>
      <c r="H237" s="3" t="n"/>
      <c r="I237" s="3" t="n"/>
      <c r="J237" s="5">
        <f>IF(AND(D237="Venta",I237="Página"),1,0)</f>
        <v/>
      </c>
    </row>
    <row r="238">
      <c r="A238" s="3" t="n"/>
      <c r="B238" s="3" t="n"/>
      <c r="C238" s="3" t="n"/>
      <c r="D238" s="3" t="n"/>
      <c r="E238" s="3" t="n"/>
      <c r="F238" s="3" t="n"/>
      <c r="G238" s="4" t="n"/>
      <c r="H238" s="3" t="n"/>
      <c r="I238" s="3" t="n"/>
      <c r="J238" s="5">
        <f>IF(AND(D238="Venta",I238="Página"),1,0)</f>
        <v/>
      </c>
    </row>
    <row r="239">
      <c r="A239" s="3" t="n"/>
      <c r="B239" s="3" t="n"/>
      <c r="C239" s="3" t="n"/>
      <c r="D239" s="3" t="n"/>
      <c r="E239" s="3" t="n"/>
      <c r="F239" s="3" t="n"/>
      <c r="G239" s="4" t="n"/>
      <c r="H239" s="3" t="n"/>
      <c r="I239" s="3" t="n"/>
      <c r="J239" s="5">
        <f>IF(AND(D239="Venta",I239="Página"),1,0)</f>
        <v/>
      </c>
    </row>
    <row r="240">
      <c r="A240" s="3" t="n"/>
      <c r="B240" s="3" t="n"/>
      <c r="C240" s="3" t="n"/>
      <c r="D240" s="3" t="n"/>
      <c r="E240" s="3" t="n"/>
      <c r="F240" s="3" t="n"/>
      <c r="G240" s="4" t="n"/>
      <c r="H240" s="3" t="n"/>
      <c r="I240" s="3" t="n"/>
      <c r="J240" s="5">
        <f>IF(AND(D240="Venta",I240="Página"),1,0)</f>
        <v/>
      </c>
    </row>
    <row r="241">
      <c r="A241" s="3" t="n"/>
      <c r="B241" s="3" t="n"/>
      <c r="C241" s="3" t="n"/>
      <c r="D241" s="3" t="n"/>
      <c r="E241" s="3" t="n"/>
      <c r="F241" s="3" t="n"/>
      <c r="G241" s="4" t="n"/>
      <c r="H241" s="3" t="n"/>
      <c r="I241" s="3" t="n"/>
      <c r="J241" s="5">
        <f>IF(AND(D241="Venta",I241="Página"),1,0)</f>
        <v/>
      </c>
    </row>
    <row r="242">
      <c r="A242" s="3" t="n"/>
      <c r="B242" s="3" t="n"/>
      <c r="C242" s="3" t="n"/>
      <c r="D242" s="3" t="n"/>
      <c r="E242" s="3" t="n"/>
      <c r="F242" s="3" t="n"/>
      <c r="G242" s="4" t="n"/>
      <c r="H242" s="3" t="n"/>
      <c r="I242" s="3" t="n"/>
      <c r="J242" s="5">
        <f>IF(AND(D242="Venta",I242="Página"),1,0)</f>
        <v/>
      </c>
    </row>
    <row r="243">
      <c r="A243" s="3" t="n"/>
      <c r="B243" s="3" t="n"/>
      <c r="C243" s="3" t="n"/>
      <c r="D243" s="3" t="n"/>
      <c r="E243" s="3" t="n"/>
      <c r="F243" s="3" t="n"/>
      <c r="G243" s="4" t="n"/>
      <c r="H243" s="3" t="n"/>
      <c r="I243" s="3" t="n"/>
      <c r="J243" s="5">
        <f>IF(AND(D243="Venta",I243="Página"),1,0)</f>
        <v/>
      </c>
    </row>
    <row r="244">
      <c r="A244" s="3" t="n"/>
      <c r="B244" s="3" t="n"/>
      <c r="C244" s="3" t="n"/>
      <c r="D244" s="3" t="n"/>
      <c r="E244" s="3" t="n"/>
      <c r="F244" s="3" t="n"/>
      <c r="G244" s="4" t="n"/>
      <c r="H244" s="3" t="n"/>
      <c r="I244" s="3" t="n"/>
      <c r="J244" s="5">
        <f>IF(AND(D244="Venta",I244="Página"),1,0)</f>
        <v/>
      </c>
    </row>
    <row r="245">
      <c r="A245" s="3" t="n"/>
      <c r="B245" s="3" t="n"/>
      <c r="C245" s="3" t="n"/>
      <c r="D245" s="3" t="n"/>
      <c r="E245" s="3" t="n"/>
      <c r="F245" s="3" t="n"/>
      <c r="G245" s="4" t="n"/>
      <c r="H245" s="3" t="n"/>
      <c r="I245" s="3" t="n"/>
      <c r="J245" s="5">
        <f>IF(AND(D245="Venta",I245="Página"),1,0)</f>
        <v/>
      </c>
    </row>
    <row r="246">
      <c r="A246" s="3" t="n"/>
      <c r="B246" s="3" t="n"/>
      <c r="C246" s="3" t="n"/>
      <c r="D246" s="3" t="n"/>
      <c r="E246" s="3" t="n"/>
      <c r="F246" s="3" t="n"/>
      <c r="G246" s="4" t="n"/>
      <c r="H246" s="3" t="n"/>
      <c r="I246" s="3" t="n"/>
      <c r="J246" s="5">
        <f>IF(AND(D246="Venta",I246="Página"),1,0)</f>
        <v/>
      </c>
    </row>
    <row r="247">
      <c r="A247" s="3" t="n"/>
      <c r="B247" s="3" t="n"/>
      <c r="C247" s="3" t="n"/>
      <c r="D247" s="3" t="n"/>
      <c r="E247" s="3" t="n"/>
      <c r="F247" s="3" t="n"/>
      <c r="G247" s="4" t="n"/>
      <c r="H247" s="3" t="n"/>
      <c r="I247" s="3" t="n"/>
      <c r="J247" s="5">
        <f>IF(AND(D247="Venta",I247="Página"),1,0)</f>
        <v/>
      </c>
    </row>
    <row r="248">
      <c r="A248" s="3" t="n"/>
      <c r="B248" s="3" t="n"/>
      <c r="C248" s="3" t="n"/>
      <c r="D248" s="3" t="n"/>
      <c r="E248" s="3" t="n"/>
      <c r="F248" s="3" t="n"/>
      <c r="G248" s="4" t="n"/>
      <c r="H248" s="3" t="n"/>
      <c r="I248" s="3" t="n"/>
      <c r="J248" s="5">
        <f>IF(AND(D248="Venta",I248="Página"),1,0)</f>
        <v/>
      </c>
    </row>
    <row r="249">
      <c r="A249" s="3" t="n"/>
      <c r="B249" s="3" t="n"/>
      <c r="C249" s="3" t="n"/>
      <c r="D249" s="3" t="n"/>
      <c r="E249" s="3" t="n"/>
      <c r="F249" s="3" t="n"/>
      <c r="G249" s="4" t="n"/>
      <c r="H249" s="3" t="n"/>
      <c r="I249" s="3" t="n"/>
      <c r="J249" s="5">
        <f>IF(AND(D249="Venta",I249="Página"),1,0)</f>
        <v/>
      </c>
    </row>
    <row r="250">
      <c r="A250" s="3" t="n"/>
      <c r="B250" s="3" t="n"/>
      <c r="C250" s="3" t="n"/>
      <c r="D250" s="3" t="n"/>
      <c r="E250" s="3" t="n"/>
      <c r="F250" s="3" t="n"/>
      <c r="G250" s="4" t="n"/>
      <c r="H250" s="3" t="n"/>
      <c r="I250" s="3" t="n"/>
      <c r="J250" s="5">
        <f>IF(AND(D250="Venta",I250="Página"),1,0)</f>
        <v/>
      </c>
    </row>
    <row r="251">
      <c r="A251" s="3" t="n"/>
      <c r="B251" s="3" t="n"/>
      <c r="C251" s="3" t="n"/>
      <c r="D251" s="3" t="n"/>
      <c r="E251" s="3" t="n"/>
      <c r="F251" s="3" t="n"/>
      <c r="G251" s="4" t="n"/>
      <c r="H251" s="3" t="n"/>
      <c r="I251" s="3" t="n"/>
      <c r="J251" s="5">
        <f>IF(AND(D251="Venta",I251="Página"),1,0)</f>
        <v/>
      </c>
    </row>
    <row r="252">
      <c r="A252" s="3" t="n"/>
      <c r="B252" s="3" t="n"/>
      <c r="C252" s="3" t="n"/>
      <c r="D252" s="3" t="n"/>
      <c r="E252" s="3" t="n"/>
      <c r="F252" s="3" t="n"/>
      <c r="G252" s="4" t="n"/>
      <c r="H252" s="3" t="n"/>
      <c r="I252" s="3" t="n"/>
      <c r="J252" s="5">
        <f>IF(AND(D252="Venta",I252="Página"),1,0)</f>
        <v/>
      </c>
    </row>
    <row r="253">
      <c r="A253" s="3" t="n"/>
      <c r="B253" s="3" t="n"/>
      <c r="C253" s="3" t="n"/>
      <c r="D253" s="3" t="n"/>
      <c r="E253" s="3" t="n"/>
      <c r="F253" s="3" t="n"/>
      <c r="G253" s="4" t="n"/>
      <c r="H253" s="3" t="n"/>
      <c r="I253" s="3" t="n"/>
      <c r="J253" s="5">
        <f>IF(AND(D253="Venta",I253="Página"),1,0)</f>
        <v/>
      </c>
    </row>
    <row r="254">
      <c r="A254" s="3" t="n"/>
      <c r="B254" s="3" t="n"/>
      <c r="C254" s="3" t="n"/>
      <c r="D254" s="3" t="n"/>
      <c r="E254" s="3" t="n"/>
      <c r="F254" s="3" t="n"/>
      <c r="G254" s="4" t="n"/>
      <c r="H254" s="3" t="n"/>
      <c r="I254" s="3" t="n"/>
      <c r="J254" s="5">
        <f>IF(AND(D254="Venta",I254="Página"),1,0)</f>
        <v/>
      </c>
    </row>
    <row r="255">
      <c r="A255" s="3" t="n"/>
      <c r="B255" s="3" t="n"/>
      <c r="C255" s="3" t="n"/>
      <c r="D255" s="3" t="n"/>
      <c r="E255" s="3" t="n"/>
      <c r="F255" s="3" t="n"/>
      <c r="G255" s="4" t="n"/>
      <c r="H255" s="3" t="n"/>
      <c r="I255" s="3" t="n"/>
      <c r="J255" s="5">
        <f>IF(AND(D255="Venta",I255="Página"),1,0)</f>
        <v/>
      </c>
    </row>
    <row r="256">
      <c r="A256" s="3" t="n"/>
      <c r="B256" s="3" t="n"/>
      <c r="C256" s="3" t="n"/>
      <c r="D256" s="3" t="n"/>
      <c r="E256" s="3" t="n"/>
      <c r="F256" s="3" t="n"/>
      <c r="G256" s="4" t="n"/>
      <c r="H256" s="3" t="n"/>
      <c r="I256" s="3" t="n"/>
      <c r="J256" s="5">
        <f>IF(AND(D256="Venta",I256="Página"),1,0)</f>
        <v/>
      </c>
    </row>
    <row r="257">
      <c r="A257" s="3" t="n"/>
      <c r="B257" s="3" t="n"/>
      <c r="C257" s="3" t="n"/>
      <c r="D257" s="3" t="n"/>
      <c r="E257" s="3" t="n"/>
      <c r="F257" s="3" t="n"/>
      <c r="G257" s="4" t="n"/>
      <c r="H257" s="3" t="n"/>
      <c r="I257" s="3" t="n"/>
      <c r="J257" s="5">
        <f>IF(AND(D257="Venta",I257="Página"),1,0)</f>
        <v/>
      </c>
    </row>
    <row r="258">
      <c r="A258" s="3" t="n"/>
      <c r="B258" s="3" t="n"/>
      <c r="C258" s="3" t="n"/>
      <c r="D258" s="3" t="n"/>
      <c r="E258" s="3" t="n"/>
      <c r="F258" s="3" t="n"/>
      <c r="G258" s="4" t="n"/>
      <c r="H258" s="3" t="n"/>
      <c r="I258" s="3" t="n"/>
      <c r="J258" s="5">
        <f>IF(AND(D258="Venta",I258="Página"),1,0)</f>
        <v/>
      </c>
    </row>
    <row r="259">
      <c r="A259" s="3" t="n"/>
      <c r="B259" s="3" t="n"/>
      <c r="C259" s="3" t="n"/>
      <c r="D259" s="3" t="n"/>
      <c r="E259" s="3" t="n"/>
      <c r="F259" s="3" t="n"/>
      <c r="G259" s="4" t="n"/>
      <c r="H259" s="3" t="n"/>
      <c r="I259" s="3" t="n"/>
      <c r="J259" s="5">
        <f>IF(AND(D259="Venta",I259="Página"),1,0)</f>
        <v/>
      </c>
    </row>
    <row r="260">
      <c r="A260" s="3" t="n"/>
      <c r="B260" s="3" t="n"/>
      <c r="C260" s="3" t="n"/>
      <c r="D260" s="3" t="n"/>
      <c r="E260" s="3" t="n"/>
      <c r="F260" s="3" t="n"/>
      <c r="G260" s="4" t="n"/>
      <c r="H260" s="3" t="n"/>
      <c r="I260" s="3" t="n"/>
      <c r="J260" s="5">
        <f>IF(AND(D260="Venta",I260="Página"),1,0)</f>
        <v/>
      </c>
    </row>
    <row r="261">
      <c r="A261" s="3" t="n"/>
      <c r="B261" s="3" t="n"/>
      <c r="C261" s="3" t="n"/>
      <c r="D261" s="3" t="n"/>
      <c r="E261" s="3" t="n"/>
      <c r="F261" s="3" t="n"/>
      <c r="G261" s="4" t="n"/>
      <c r="H261" s="3" t="n"/>
      <c r="I261" s="3" t="n"/>
      <c r="J261" s="5">
        <f>IF(AND(D261="Venta",I261="Página"),1,0)</f>
        <v/>
      </c>
    </row>
    <row r="262">
      <c r="A262" s="3" t="n"/>
      <c r="B262" s="3" t="n"/>
      <c r="C262" s="3" t="n"/>
      <c r="D262" s="3" t="n"/>
      <c r="E262" s="3" t="n"/>
      <c r="F262" s="3" t="n"/>
      <c r="G262" s="4" t="n"/>
      <c r="H262" s="3" t="n"/>
      <c r="I262" s="3" t="n"/>
      <c r="J262" s="5">
        <f>IF(AND(D262="Venta",I262="Página"),1,0)</f>
        <v/>
      </c>
    </row>
    <row r="263">
      <c r="A263" s="3" t="n"/>
      <c r="B263" s="3" t="n"/>
      <c r="C263" s="3" t="n"/>
      <c r="D263" s="3" t="n"/>
      <c r="E263" s="3" t="n"/>
      <c r="F263" s="3" t="n"/>
      <c r="G263" s="4" t="n"/>
      <c r="H263" s="3" t="n"/>
      <c r="I263" s="3" t="n"/>
      <c r="J263" s="5">
        <f>IF(AND(D263="Venta",I263="Página"),1,0)</f>
        <v/>
      </c>
    </row>
    <row r="264">
      <c r="A264" s="3" t="n"/>
      <c r="B264" s="3" t="n"/>
      <c r="C264" s="3" t="n"/>
      <c r="D264" s="3" t="n"/>
      <c r="E264" s="3" t="n"/>
      <c r="F264" s="3" t="n"/>
      <c r="G264" s="4" t="n"/>
      <c r="H264" s="3" t="n"/>
      <c r="I264" s="3" t="n"/>
      <c r="J264" s="5">
        <f>IF(AND(D264="Venta",I264="Página"),1,0)</f>
        <v/>
      </c>
    </row>
    <row r="265">
      <c r="A265" s="3" t="n"/>
      <c r="B265" s="3" t="n"/>
      <c r="C265" s="3" t="n"/>
      <c r="D265" s="3" t="n"/>
      <c r="E265" s="3" t="n"/>
      <c r="F265" s="3" t="n"/>
      <c r="G265" s="4" t="n"/>
      <c r="H265" s="3" t="n"/>
      <c r="I265" s="3" t="n"/>
      <c r="J265" s="5">
        <f>IF(AND(D265="Venta",I265="Página"),1,0)</f>
        <v/>
      </c>
    </row>
    <row r="266">
      <c r="A266" s="3" t="n"/>
      <c r="B266" s="3" t="n"/>
      <c r="C266" s="3" t="n"/>
      <c r="D266" s="3" t="n"/>
      <c r="E266" s="3" t="n"/>
      <c r="F266" s="3" t="n"/>
      <c r="G266" s="4" t="n"/>
      <c r="H266" s="3" t="n"/>
      <c r="I266" s="3" t="n"/>
      <c r="J266" s="5">
        <f>IF(AND(D266="Venta",I266="Página"),1,0)</f>
        <v/>
      </c>
    </row>
    <row r="267">
      <c r="A267" s="3" t="n"/>
      <c r="B267" s="3" t="n"/>
      <c r="C267" s="3" t="n"/>
      <c r="D267" s="3" t="n"/>
      <c r="E267" s="3" t="n"/>
      <c r="F267" s="3" t="n"/>
      <c r="G267" s="4" t="n"/>
      <c r="H267" s="3" t="n"/>
      <c r="I267" s="3" t="n"/>
      <c r="J267" s="5">
        <f>IF(AND(D267="Venta",I267="Página"),1,0)</f>
        <v/>
      </c>
    </row>
    <row r="268">
      <c r="A268" s="3" t="n"/>
      <c r="B268" s="3" t="n"/>
      <c r="C268" s="3" t="n"/>
      <c r="D268" s="3" t="n"/>
      <c r="E268" s="3" t="n"/>
      <c r="F268" s="3" t="n"/>
      <c r="G268" s="4" t="n"/>
      <c r="H268" s="3" t="n"/>
      <c r="I268" s="3" t="n"/>
      <c r="J268" s="5">
        <f>IF(AND(D268="Venta",I268="Página"),1,0)</f>
        <v/>
      </c>
    </row>
    <row r="269">
      <c r="A269" s="3" t="n"/>
      <c r="B269" s="3" t="n"/>
      <c r="C269" s="3" t="n"/>
      <c r="D269" s="3" t="n"/>
      <c r="E269" s="3" t="n"/>
      <c r="F269" s="3" t="n"/>
      <c r="G269" s="4" t="n"/>
      <c r="H269" s="3" t="n"/>
      <c r="I269" s="3" t="n"/>
      <c r="J269" s="5">
        <f>IF(AND(D269="Venta",I269="Página"),1,0)</f>
        <v/>
      </c>
    </row>
    <row r="270">
      <c r="A270" s="3" t="n"/>
      <c r="B270" s="3" t="n"/>
      <c r="C270" s="3" t="n"/>
      <c r="D270" s="3" t="n"/>
      <c r="E270" s="3" t="n"/>
      <c r="F270" s="3" t="n"/>
      <c r="G270" s="4" t="n"/>
      <c r="H270" s="3" t="n"/>
      <c r="I270" s="3" t="n"/>
      <c r="J270" s="5">
        <f>IF(AND(D270="Venta",I270="Página"),1,0)</f>
        <v/>
      </c>
    </row>
    <row r="271">
      <c r="A271" s="3" t="n"/>
      <c r="B271" s="3" t="n"/>
      <c r="C271" s="3" t="n"/>
      <c r="D271" s="3" t="n"/>
      <c r="E271" s="3" t="n"/>
      <c r="F271" s="3" t="n"/>
      <c r="G271" s="4" t="n"/>
      <c r="H271" s="3" t="n"/>
      <c r="I271" s="3" t="n"/>
      <c r="J271" s="5">
        <f>IF(AND(D271="Venta",I271="Página"),1,0)</f>
        <v/>
      </c>
    </row>
    <row r="272">
      <c r="A272" s="3" t="n"/>
      <c r="B272" s="3" t="n"/>
      <c r="C272" s="3" t="n"/>
      <c r="D272" s="3" t="n"/>
      <c r="E272" s="3" t="n"/>
      <c r="F272" s="3" t="n"/>
      <c r="G272" s="4" t="n"/>
      <c r="H272" s="3" t="n"/>
      <c r="I272" s="3" t="n"/>
      <c r="J272" s="5">
        <f>IF(AND(D272="Venta",I272="Página"),1,0)</f>
        <v/>
      </c>
    </row>
    <row r="273">
      <c r="A273" s="3" t="n"/>
      <c r="B273" s="3" t="n"/>
      <c r="C273" s="3" t="n"/>
      <c r="D273" s="3" t="n"/>
      <c r="E273" s="3" t="n"/>
      <c r="F273" s="3" t="n"/>
      <c r="G273" s="4" t="n"/>
      <c r="H273" s="3" t="n"/>
      <c r="I273" s="3" t="n"/>
      <c r="J273" s="5">
        <f>IF(AND(D273="Venta",I273="Página"),1,0)</f>
        <v/>
      </c>
    </row>
    <row r="274">
      <c r="A274" s="3" t="n"/>
      <c r="B274" s="3" t="n"/>
      <c r="C274" s="3" t="n"/>
      <c r="D274" s="3" t="n"/>
      <c r="E274" s="3" t="n"/>
      <c r="F274" s="3" t="n"/>
      <c r="G274" s="4" t="n"/>
      <c r="H274" s="3" t="n"/>
      <c r="I274" s="3" t="n"/>
      <c r="J274" s="5">
        <f>IF(AND(D274="Venta",I274="Página"),1,0)</f>
        <v/>
      </c>
    </row>
    <row r="275">
      <c r="A275" s="3" t="n"/>
      <c r="B275" s="3" t="n"/>
      <c r="C275" s="3" t="n"/>
      <c r="D275" s="3" t="n"/>
      <c r="E275" s="3" t="n"/>
      <c r="F275" s="3" t="n"/>
      <c r="G275" s="4" t="n"/>
      <c r="H275" s="3" t="n"/>
      <c r="I275" s="3" t="n"/>
      <c r="J275" s="5">
        <f>IF(AND(D275="Venta",I275="Página"),1,0)</f>
        <v/>
      </c>
    </row>
    <row r="276">
      <c r="A276" s="3" t="n"/>
      <c r="B276" s="3" t="n"/>
      <c r="C276" s="3" t="n"/>
      <c r="D276" s="3" t="n"/>
      <c r="E276" s="3" t="n"/>
      <c r="F276" s="3" t="n"/>
      <c r="G276" s="4" t="n"/>
      <c r="H276" s="3" t="n"/>
      <c r="I276" s="3" t="n"/>
      <c r="J276" s="5">
        <f>IF(AND(D276="Venta",I276="Página"),1,0)</f>
        <v/>
      </c>
    </row>
    <row r="277">
      <c r="A277" s="3" t="n"/>
      <c r="B277" s="3" t="n"/>
      <c r="C277" s="3" t="n"/>
      <c r="D277" s="3" t="n"/>
      <c r="E277" s="3" t="n"/>
      <c r="F277" s="3" t="n"/>
      <c r="G277" s="4" t="n"/>
      <c r="H277" s="3" t="n"/>
      <c r="I277" s="3" t="n"/>
      <c r="J277" s="5">
        <f>IF(AND(D277="Venta",I277="Página"),1,0)</f>
        <v/>
      </c>
    </row>
    <row r="278">
      <c r="A278" s="3" t="n"/>
      <c r="B278" s="3" t="n"/>
      <c r="C278" s="3" t="n"/>
      <c r="D278" s="3" t="n"/>
      <c r="E278" s="3" t="n"/>
      <c r="F278" s="3" t="n"/>
      <c r="G278" s="4" t="n"/>
      <c r="H278" s="3" t="n"/>
      <c r="I278" s="3" t="n"/>
      <c r="J278" s="5">
        <f>IF(AND(D278="Venta",I278="Página"),1,0)</f>
        <v/>
      </c>
    </row>
    <row r="279">
      <c r="A279" s="3" t="n"/>
      <c r="B279" s="3" t="n"/>
      <c r="C279" s="3" t="n"/>
      <c r="D279" s="3" t="n"/>
      <c r="E279" s="3" t="n"/>
      <c r="F279" s="3" t="n"/>
      <c r="G279" s="4" t="n"/>
      <c r="H279" s="3" t="n"/>
      <c r="I279" s="3" t="n"/>
      <c r="J279" s="5">
        <f>IF(AND(D279="Venta",I279="Página"),1,0)</f>
        <v/>
      </c>
    </row>
    <row r="280">
      <c r="A280" s="3" t="n"/>
      <c r="B280" s="3" t="n"/>
      <c r="C280" s="3" t="n"/>
      <c r="D280" s="3" t="n"/>
      <c r="E280" s="3" t="n"/>
      <c r="F280" s="3" t="n"/>
      <c r="G280" s="4" t="n"/>
      <c r="H280" s="3" t="n"/>
      <c r="I280" s="3" t="n"/>
      <c r="J280" s="5">
        <f>IF(AND(D280="Venta",I280="Página"),1,0)</f>
        <v/>
      </c>
    </row>
    <row r="281">
      <c r="A281" s="3" t="n"/>
      <c r="B281" s="3" t="n"/>
      <c r="C281" s="3" t="n"/>
      <c r="D281" s="3" t="n"/>
      <c r="E281" s="3" t="n"/>
      <c r="F281" s="3" t="n"/>
      <c r="G281" s="4" t="n"/>
      <c r="H281" s="3" t="n"/>
      <c r="I281" s="3" t="n"/>
      <c r="J281" s="5">
        <f>IF(AND(D281="Venta",I281="Página"),1,0)</f>
        <v/>
      </c>
    </row>
    <row r="282">
      <c r="A282" s="3" t="n"/>
      <c r="B282" s="3" t="n"/>
      <c r="C282" s="3" t="n"/>
      <c r="D282" s="3" t="n"/>
      <c r="E282" s="3" t="n"/>
      <c r="F282" s="3" t="n"/>
      <c r="G282" s="4" t="n"/>
      <c r="H282" s="3" t="n"/>
      <c r="I282" s="3" t="n"/>
      <c r="J282" s="5">
        <f>IF(AND(D282="Venta",I282="Página"),1,0)</f>
        <v/>
      </c>
    </row>
    <row r="283">
      <c r="A283" s="3" t="n"/>
      <c r="B283" s="3" t="n"/>
      <c r="C283" s="3" t="n"/>
      <c r="D283" s="3" t="n"/>
      <c r="E283" s="3" t="n"/>
      <c r="F283" s="3" t="n"/>
      <c r="G283" s="4" t="n"/>
      <c r="H283" s="3" t="n"/>
      <c r="I283" s="3" t="n"/>
      <c r="J283" s="5">
        <f>IF(AND(D283="Venta",I283="Página"),1,0)</f>
        <v/>
      </c>
    </row>
    <row r="284">
      <c r="A284" s="3" t="n"/>
      <c r="B284" s="3" t="n"/>
      <c r="C284" s="3" t="n"/>
      <c r="D284" s="3" t="n"/>
      <c r="E284" s="3" t="n"/>
      <c r="F284" s="3" t="n"/>
      <c r="G284" s="4" t="n"/>
      <c r="H284" s="3" t="n"/>
      <c r="I284" s="3" t="n"/>
      <c r="J284" s="5">
        <f>IF(AND(D284="Venta",I284="Página"),1,0)</f>
        <v/>
      </c>
    </row>
    <row r="285">
      <c r="A285" s="3" t="n"/>
      <c r="B285" s="3" t="n"/>
      <c r="C285" s="3" t="n"/>
      <c r="D285" s="3" t="n"/>
      <c r="E285" s="3" t="n"/>
      <c r="F285" s="3" t="n"/>
      <c r="G285" s="4" t="n"/>
      <c r="H285" s="3" t="n"/>
      <c r="I285" s="3" t="n"/>
      <c r="J285" s="5">
        <f>IF(AND(D285="Venta",I285="Página"),1,0)</f>
        <v/>
      </c>
    </row>
    <row r="286">
      <c r="A286" s="3" t="n"/>
      <c r="B286" s="3" t="n"/>
      <c r="C286" s="3" t="n"/>
      <c r="D286" s="3" t="n"/>
      <c r="E286" s="3" t="n"/>
      <c r="F286" s="3" t="n"/>
      <c r="G286" s="4" t="n"/>
      <c r="H286" s="3" t="n"/>
      <c r="I286" s="3" t="n"/>
      <c r="J286" s="5">
        <f>IF(AND(D286="Venta",I286="Página"),1,0)</f>
        <v/>
      </c>
    </row>
    <row r="287">
      <c r="A287" s="3" t="n"/>
      <c r="B287" s="3" t="n"/>
      <c r="C287" s="3" t="n"/>
      <c r="D287" s="3" t="n"/>
      <c r="E287" s="3" t="n"/>
      <c r="F287" s="3" t="n"/>
      <c r="G287" s="4" t="n"/>
      <c r="H287" s="3" t="n"/>
      <c r="I287" s="3" t="n"/>
      <c r="J287" s="5">
        <f>IF(AND(D287="Venta",I287="Página"),1,0)</f>
        <v/>
      </c>
    </row>
    <row r="288">
      <c r="A288" s="3" t="n"/>
      <c r="B288" s="3" t="n"/>
      <c r="C288" s="3" t="n"/>
      <c r="D288" s="3" t="n"/>
      <c r="E288" s="3" t="n"/>
      <c r="F288" s="3" t="n"/>
      <c r="G288" s="4" t="n"/>
      <c r="H288" s="3" t="n"/>
      <c r="I288" s="3" t="n"/>
      <c r="J288" s="5">
        <f>IF(AND(D288="Venta",I288="Página"),1,0)</f>
        <v/>
      </c>
    </row>
    <row r="289">
      <c r="A289" s="3" t="n"/>
      <c r="B289" s="3" t="n"/>
      <c r="C289" s="3" t="n"/>
      <c r="D289" s="3" t="n"/>
      <c r="E289" s="3" t="n"/>
      <c r="F289" s="3" t="n"/>
      <c r="G289" s="4" t="n"/>
      <c r="H289" s="3" t="n"/>
      <c r="I289" s="3" t="n"/>
      <c r="J289" s="5">
        <f>IF(AND(D289="Venta",I289="Página"),1,0)</f>
        <v/>
      </c>
    </row>
    <row r="290">
      <c r="A290" s="3" t="n"/>
      <c r="B290" s="3" t="n"/>
      <c r="C290" s="3" t="n"/>
      <c r="D290" s="3" t="n"/>
      <c r="E290" s="3" t="n"/>
      <c r="F290" s="3" t="n"/>
      <c r="G290" s="4" t="n"/>
      <c r="H290" s="3" t="n"/>
      <c r="I290" s="3" t="n"/>
      <c r="J290" s="5">
        <f>IF(AND(D290="Venta",I290="Página"),1,0)</f>
        <v/>
      </c>
    </row>
    <row r="291">
      <c r="A291" s="3" t="n"/>
      <c r="B291" s="3" t="n"/>
      <c r="C291" s="3" t="n"/>
      <c r="D291" s="3" t="n"/>
      <c r="E291" s="3" t="n"/>
      <c r="F291" s="3" t="n"/>
      <c r="G291" s="4" t="n"/>
      <c r="H291" s="3" t="n"/>
      <c r="I291" s="3" t="n"/>
      <c r="J291" s="5">
        <f>IF(AND(D291="Venta",I291="Página"),1,0)</f>
        <v/>
      </c>
    </row>
    <row r="292">
      <c r="A292" s="3" t="n"/>
      <c r="B292" s="3" t="n"/>
      <c r="C292" s="3" t="n"/>
      <c r="D292" s="3" t="n"/>
      <c r="E292" s="3" t="n"/>
      <c r="F292" s="3" t="n"/>
      <c r="G292" s="4" t="n"/>
      <c r="H292" s="3" t="n"/>
      <c r="I292" s="3" t="n"/>
      <c r="J292" s="5">
        <f>IF(AND(D292="Venta",I292="Página"),1,0)</f>
        <v/>
      </c>
    </row>
    <row r="293">
      <c r="A293" s="3" t="n"/>
      <c r="B293" s="3" t="n"/>
      <c r="C293" s="3" t="n"/>
      <c r="D293" s="3" t="n"/>
      <c r="E293" s="3" t="n"/>
      <c r="F293" s="3" t="n"/>
      <c r="G293" s="4" t="n"/>
      <c r="H293" s="3" t="n"/>
      <c r="I293" s="3" t="n"/>
      <c r="J293" s="5">
        <f>IF(AND(D293="Venta",I293="Página"),1,0)</f>
        <v/>
      </c>
    </row>
    <row r="294">
      <c r="A294" s="3" t="n"/>
      <c r="B294" s="3" t="n"/>
      <c r="C294" s="3" t="n"/>
      <c r="D294" s="3" t="n"/>
      <c r="E294" s="3" t="n"/>
      <c r="F294" s="3" t="n"/>
      <c r="G294" s="4" t="n"/>
      <c r="H294" s="3" t="n"/>
      <c r="I294" s="3" t="n"/>
      <c r="J294" s="5">
        <f>IF(AND(D294="Venta",I294="Página"),1,0)</f>
        <v/>
      </c>
    </row>
    <row r="295">
      <c r="A295" s="3" t="n"/>
      <c r="B295" s="3" t="n"/>
      <c r="C295" s="3" t="n"/>
      <c r="D295" s="3" t="n"/>
      <c r="E295" s="3" t="n"/>
      <c r="F295" s="3" t="n"/>
      <c r="G295" s="4" t="n"/>
      <c r="H295" s="3" t="n"/>
      <c r="I295" s="3" t="n"/>
      <c r="J295" s="5">
        <f>IF(AND(D295="Venta",I295="Página"),1,0)</f>
        <v/>
      </c>
    </row>
    <row r="296">
      <c r="A296" s="3" t="n"/>
      <c r="B296" s="3" t="n"/>
      <c r="C296" s="3" t="n"/>
      <c r="D296" s="3" t="n"/>
      <c r="E296" s="3" t="n"/>
      <c r="F296" s="3" t="n"/>
      <c r="G296" s="4" t="n"/>
      <c r="H296" s="3" t="n"/>
      <c r="I296" s="3" t="n"/>
      <c r="J296" s="5">
        <f>IF(AND(D296="Venta",I296="Página"),1,0)</f>
        <v/>
      </c>
    </row>
    <row r="297">
      <c r="A297" s="3" t="n"/>
      <c r="B297" s="3" t="n"/>
      <c r="C297" s="3" t="n"/>
      <c r="D297" s="3" t="n"/>
      <c r="E297" s="3" t="n"/>
      <c r="F297" s="3" t="n"/>
      <c r="G297" s="4" t="n"/>
      <c r="H297" s="3" t="n"/>
      <c r="I297" s="3" t="n"/>
      <c r="J297" s="5">
        <f>IF(AND(D297="Venta",I297="Página"),1,0)</f>
        <v/>
      </c>
    </row>
    <row r="298">
      <c r="A298" s="3" t="n"/>
      <c r="B298" s="3" t="n"/>
      <c r="C298" s="3" t="n"/>
      <c r="D298" s="3" t="n"/>
      <c r="E298" s="3" t="n"/>
      <c r="F298" s="3" t="n"/>
      <c r="G298" s="4" t="n"/>
      <c r="H298" s="3" t="n"/>
      <c r="I298" s="3" t="n"/>
      <c r="J298" s="5">
        <f>IF(AND(D298="Venta",I298="Página"),1,0)</f>
        <v/>
      </c>
    </row>
    <row r="299">
      <c r="A299" s="3" t="n"/>
      <c r="B299" s="3" t="n"/>
      <c r="C299" s="3" t="n"/>
      <c r="D299" s="3" t="n"/>
      <c r="E299" s="3" t="n"/>
      <c r="F299" s="3" t="n"/>
      <c r="G299" s="4" t="n"/>
      <c r="H299" s="3" t="n"/>
      <c r="I299" s="3" t="n"/>
      <c r="J299" s="5">
        <f>IF(AND(D299="Venta",I299="Página"),1,0)</f>
        <v/>
      </c>
    </row>
    <row r="300">
      <c r="A300" s="3" t="n"/>
      <c r="B300" s="3" t="n"/>
      <c r="C300" s="3" t="n"/>
      <c r="D300" s="3" t="n"/>
      <c r="E300" s="3" t="n"/>
      <c r="F300" s="3" t="n"/>
      <c r="G300" s="4" t="n"/>
      <c r="H300" s="3" t="n"/>
      <c r="I300" s="3" t="n"/>
      <c r="J300" s="5">
        <f>IF(AND(D300="Venta",I300="Página"),1,0)</f>
        <v/>
      </c>
    </row>
    <row r="301">
      <c r="A301" s="3" t="n"/>
      <c r="B301" s="3" t="n"/>
      <c r="C301" s="3" t="n"/>
      <c r="D301" s="3" t="n"/>
      <c r="E301" s="3" t="n"/>
      <c r="F301" s="3" t="n"/>
      <c r="G301" s="4" t="n"/>
      <c r="H301" s="3" t="n"/>
      <c r="I301" s="3" t="n"/>
      <c r="J301" s="5">
        <f>IF(AND(D301="Venta",I301="Página"),1,0)</f>
        <v/>
      </c>
    </row>
    <row r="302">
      <c r="A302" s="3" t="n"/>
      <c r="B302" s="3" t="n"/>
      <c r="C302" s="3" t="n"/>
      <c r="D302" s="3" t="n"/>
      <c r="E302" s="3" t="n"/>
      <c r="F302" s="3" t="n"/>
      <c r="G302" s="4" t="n"/>
      <c r="H302" s="3" t="n"/>
      <c r="I302" s="3" t="n"/>
      <c r="J302" s="5">
        <f>IF(AND(D302="Venta",I302="Página"),1,0)</f>
        <v/>
      </c>
    </row>
    <row r="303">
      <c r="A303" s="3" t="n"/>
      <c r="B303" s="3" t="n"/>
      <c r="C303" s="3" t="n"/>
      <c r="D303" s="3" t="n"/>
      <c r="E303" s="3" t="n"/>
      <c r="F303" s="3" t="n"/>
      <c r="G303" s="4" t="n"/>
      <c r="H303" s="3" t="n"/>
      <c r="I303" s="3" t="n"/>
      <c r="J303" s="5">
        <f>IF(AND(D303="Venta",I303="Página"),1,0)</f>
        <v/>
      </c>
    </row>
    <row r="304">
      <c r="A304" s="3" t="n"/>
      <c r="B304" s="3" t="n"/>
      <c r="C304" s="3" t="n"/>
      <c r="D304" s="3" t="n"/>
      <c r="E304" s="3" t="n"/>
      <c r="F304" s="3" t="n"/>
      <c r="G304" s="4" t="n"/>
      <c r="H304" s="3" t="n"/>
      <c r="I304" s="3" t="n"/>
      <c r="J304" s="5">
        <f>IF(AND(D304="Venta",I304="Página"),1,0)</f>
        <v/>
      </c>
    </row>
    <row r="305">
      <c r="A305" s="3" t="n"/>
      <c r="B305" s="3" t="n"/>
      <c r="C305" s="3" t="n"/>
      <c r="D305" s="3" t="n"/>
      <c r="E305" s="3" t="n"/>
      <c r="F305" s="3" t="n"/>
      <c r="G305" s="4" t="n"/>
      <c r="H305" s="3" t="n"/>
      <c r="I305" s="3" t="n"/>
      <c r="J305" s="5">
        <f>IF(AND(D305="Venta",I305="Página"),1,0)</f>
        <v/>
      </c>
    </row>
    <row r="306">
      <c r="A306" s="3" t="n"/>
      <c r="B306" s="3" t="n"/>
      <c r="C306" s="3" t="n"/>
      <c r="D306" s="3" t="n"/>
      <c r="E306" s="3" t="n"/>
      <c r="F306" s="3" t="n"/>
      <c r="G306" s="4" t="n"/>
      <c r="H306" s="3" t="n"/>
      <c r="I306" s="3" t="n"/>
      <c r="J306" s="5">
        <f>IF(AND(D306="Venta",I306="Página"),1,0)</f>
        <v/>
      </c>
    </row>
    <row r="307">
      <c r="A307" s="3" t="n"/>
      <c r="B307" s="3" t="n"/>
      <c r="C307" s="3" t="n"/>
      <c r="D307" s="3" t="n"/>
      <c r="E307" s="3" t="n"/>
      <c r="F307" s="3" t="n"/>
      <c r="G307" s="4" t="n"/>
      <c r="H307" s="3" t="n"/>
      <c r="I307" s="3" t="n"/>
      <c r="J307" s="5">
        <f>IF(AND(D307="Venta",I307="Página"),1,0)</f>
        <v/>
      </c>
    </row>
    <row r="308">
      <c r="A308" s="3" t="n"/>
      <c r="B308" s="3" t="n"/>
      <c r="C308" s="3" t="n"/>
      <c r="D308" s="3" t="n"/>
      <c r="E308" s="3" t="n"/>
      <c r="F308" s="3" t="n"/>
      <c r="G308" s="4" t="n"/>
      <c r="H308" s="3" t="n"/>
      <c r="I308" s="3" t="n"/>
      <c r="J308" s="5">
        <f>IF(AND(D308="Venta",I308="Página"),1,0)</f>
        <v/>
      </c>
    </row>
    <row r="309">
      <c r="A309" s="3" t="n"/>
      <c r="B309" s="3" t="n"/>
      <c r="C309" s="3" t="n"/>
      <c r="D309" s="3" t="n"/>
      <c r="E309" s="3" t="n"/>
      <c r="F309" s="3" t="n"/>
      <c r="G309" s="4" t="n"/>
      <c r="H309" s="3" t="n"/>
      <c r="I309" s="3" t="n"/>
      <c r="J309" s="5">
        <f>IF(AND(D309="Venta",I309="Página"),1,0)</f>
        <v/>
      </c>
    </row>
    <row r="310">
      <c r="A310" s="3" t="n"/>
      <c r="B310" s="3" t="n"/>
      <c r="C310" s="3" t="n"/>
      <c r="D310" s="3" t="n"/>
      <c r="E310" s="3" t="n"/>
      <c r="F310" s="3" t="n"/>
      <c r="G310" s="4" t="n"/>
      <c r="H310" s="3" t="n"/>
      <c r="I310" s="3" t="n"/>
      <c r="J310" s="5">
        <f>IF(AND(D310="Venta",I310="Página"),1,0)</f>
        <v/>
      </c>
    </row>
    <row r="311">
      <c r="A311" s="3" t="n"/>
      <c r="B311" s="3" t="n"/>
      <c r="C311" s="3" t="n"/>
      <c r="D311" s="3" t="n"/>
      <c r="E311" s="3" t="n"/>
      <c r="F311" s="3" t="n"/>
      <c r="G311" s="4" t="n"/>
      <c r="H311" s="3" t="n"/>
      <c r="I311" s="3" t="n"/>
      <c r="J311" s="5">
        <f>IF(AND(D311="Venta",I311="Página"),1,0)</f>
        <v/>
      </c>
    </row>
    <row r="312">
      <c r="A312" s="3" t="n"/>
      <c r="B312" s="3" t="n"/>
      <c r="C312" s="3" t="n"/>
      <c r="D312" s="3" t="n"/>
      <c r="E312" s="3" t="n"/>
      <c r="F312" s="3" t="n"/>
      <c r="G312" s="4" t="n"/>
      <c r="H312" s="3" t="n"/>
      <c r="I312" s="3" t="n"/>
      <c r="J312" s="5">
        <f>IF(AND(D312="Venta",I312="Página"),1,0)</f>
        <v/>
      </c>
    </row>
    <row r="313">
      <c r="A313" s="3" t="n"/>
      <c r="B313" s="3" t="n"/>
      <c r="C313" s="3" t="n"/>
      <c r="D313" s="3" t="n"/>
      <c r="E313" s="3" t="n"/>
      <c r="F313" s="3" t="n"/>
      <c r="G313" s="4" t="n"/>
      <c r="H313" s="3" t="n"/>
      <c r="I313" s="3" t="n"/>
      <c r="J313" s="5">
        <f>IF(AND(D313="Venta",I313="Página"),1,0)</f>
        <v/>
      </c>
    </row>
    <row r="314">
      <c r="A314" s="3" t="n"/>
      <c r="B314" s="3" t="n"/>
      <c r="C314" s="3" t="n"/>
      <c r="D314" s="3" t="n"/>
      <c r="E314" s="3" t="n"/>
      <c r="F314" s="3" t="n"/>
      <c r="G314" s="4" t="n"/>
      <c r="H314" s="3" t="n"/>
      <c r="I314" s="3" t="n"/>
      <c r="J314" s="5">
        <f>IF(AND(D314="Venta",I314="Página"),1,0)</f>
        <v/>
      </c>
    </row>
    <row r="315">
      <c r="A315" s="3" t="n"/>
      <c r="B315" s="3" t="n"/>
      <c r="C315" s="3" t="n"/>
      <c r="D315" s="3" t="n"/>
      <c r="E315" s="3" t="n"/>
      <c r="F315" s="3" t="n"/>
      <c r="G315" s="4" t="n"/>
      <c r="H315" s="3" t="n"/>
      <c r="I315" s="3" t="n"/>
      <c r="J315" s="5">
        <f>IF(AND(D315="Venta",I315="Página"),1,0)</f>
        <v/>
      </c>
    </row>
    <row r="316">
      <c r="A316" s="3" t="n"/>
      <c r="B316" s="3" t="n"/>
      <c r="C316" s="3" t="n"/>
      <c r="D316" s="3" t="n"/>
      <c r="E316" s="3" t="n"/>
      <c r="F316" s="3" t="n"/>
      <c r="G316" s="4" t="n"/>
      <c r="H316" s="3" t="n"/>
      <c r="I316" s="3" t="n"/>
      <c r="J316" s="5">
        <f>IF(AND(D316="Venta",I316="Página"),1,0)</f>
        <v/>
      </c>
    </row>
    <row r="317">
      <c r="A317" s="3" t="n"/>
      <c r="B317" s="3" t="n"/>
      <c r="C317" s="3" t="n"/>
      <c r="D317" s="3" t="n"/>
      <c r="E317" s="3" t="n"/>
      <c r="F317" s="3" t="n"/>
      <c r="G317" s="4" t="n"/>
      <c r="H317" s="3" t="n"/>
      <c r="I317" s="3" t="n"/>
      <c r="J317" s="5">
        <f>IF(AND(D317="Venta",I317="Página"),1,0)</f>
        <v/>
      </c>
    </row>
    <row r="318">
      <c r="A318" s="3" t="n"/>
      <c r="B318" s="3" t="n"/>
      <c r="C318" s="3" t="n"/>
      <c r="D318" s="3" t="n"/>
      <c r="E318" s="3" t="n"/>
      <c r="F318" s="3" t="n"/>
      <c r="G318" s="4" t="n"/>
      <c r="H318" s="3" t="n"/>
      <c r="I318" s="3" t="n"/>
      <c r="J318" s="5">
        <f>IF(AND(D318="Venta",I318="Página"),1,0)</f>
        <v/>
      </c>
    </row>
    <row r="319">
      <c r="A319" s="3" t="n"/>
      <c r="B319" s="3" t="n"/>
      <c r="C319" s="3" t="n"/>
      <c r="D319" s="3" t="n"/>
      <c r="E319" s="3" t="n"/>
      <c r="F319" s="3" t="n"/>
      <c r="G319" s="4" t="n"/>
      <c r="H319" s="3" t="n"/>
      <c r="I319" s="3" t="n"/>
      <c r="J319" s="5">
        <f>IF(AND(D319="Venta",I319="Página"),1,0)</f>
        <v/>
      </c>
    </row>
    <row r="320">
      <c r="A320" s="3" t="n"/>
      <c r="B320" s="3" t="n"/>
      <c r="C320" s="3" t="n"/>
      <c r="D320" s="3" t="n"/>
      <c r="E320" s="3" t="n"/>
      <c r="F320" s="3" t="n"/>
      <c r="G320" s="4" t="n"/>
      <c r="H320" s="3" t="n"/>
      <c r="I320" s="3" t="n"/>
      <c r="J320" s="5">
        <f>IF(AND(D320="Venta",I320="Página"),1,0)</f>
        <v/>
      </c>
    </row>
    <row r="321">
      <c r="A321" s="3" t="n"/>
      <c r="B321" s="3" t="n"/>
      <c r="C321" s="3" t="n"/>
      <c r="D321" s="3" t="n"/>
      <c r="E321" s="3" t="n"/>
      <c r="F321" s="3" t="n"/>
      <c r="G321" s="4" t="n"/>
      <c r="H321" s="3" t="n"/>
      <c r="I321" s="3" t="n"/>
      <c r="J321" s="5">
        <f>IF(AND(D321="Venta",I321="Página"),1,0)</f>
        <v/>
      </c>
    </row>
    <row r="322">
      <c r="A322" s="3" t="n"/>
      <c r="B322" s="3" t="n"/>
      <c r="C322" s="3" t="n"/>
      <c r="D322" s="3" t="n"/>
      <c r="E322" s="3" t="n"/>
      <c r="F322" s="3" t="n"/>
      <c r="G322" s="4" t="n"/>
      <c r="H322" s="3" t="n"/>
      <c r="I322" s="3" t="n"/>
      <c r="J322" s="5">
        <f>IF(AND(D322="Venta",I322="Página"),1,0)</f>
        <v/>
      </c>
    </row>
    <row r="323">
      <c r="A323" s="3" t="n"/>
      <c r="B323" s="3" t="n"/>
      <c r="C323" s="3" t="n"/>
      <c r="D323" s="3" t="n"/>
      <c r="E323" s="3" t="n"/>
      <c r="F323" s="3" t="n"/>
      <c r="G323" s="4" t="n"/>
      <c r="H323" s="3" t="n"/>
      <c r="I323" s="3" t="n"/>
      <c r="J323" s="5">
        <f>IF(AND(D323="Venta",I323="Página"),1,0)</f>
        <v/>
      </c>
    </row>
    <row r="324">
      <c r="A324" s="3" t="n"/>
      <c r="B324" s="3" t="n"/>
      <c r="C324" s="3" t="n"/>
      <c r="D324" s="3" t="n"/>
      <c r="E324" s="3" t="n"/>
      <c r="F324" s="3" t="n"/>
      <c r="G324" s="4" t="n"/>
      <c r="H324" s="3" t="n"/>
      <c r="I324" s="3" t="n"/>
      <c r="J324" s="5">
        <f>IF(AND(D324="Venta",I324="Página"),1,0)</f>
        <v/>
      </c>
    </row>
    <row r="325">
      <c r="A325" s="3" t="n"/>
      <c r="B325" s="3" t="n"/>
      <c r="C325" s="3" t="n"/>
      <c r="D325" s="3" t="n"/>
      <c r="E325" s="3" t="n"/>
      <c r="F325" s="3" t="n"/>
      <c r="G325" s="4" t="n"/>
      <c r="H325" s="3" t="n"/>
      <c r="I325" s="3" t="n"/>
      <c r="J325" s="5">
        <f>IF(AND(D325="Venta",I325="Página"),1,0)</f>
        <v/>
      </c>
    </row>
    <row r="326">
      <c r="A326" s="3" t="n"/>
      <c r="B326" s="3" t="n"/>
      <c r="C326" s="3" t="n"/>
      <c r="D326" s="3" t="n"/>
      <c r="E326" s="3" t="n"/>
      <c r="F326" s="3" t="n"/>
      <c r="G326" s="4" t="n"/>
      <c r="H326" s="3" t="n"/>
      <c r="I326" s="3" t="n"/>
      <c r="J326" s="5">
        <f>IF(AND(D326="Venta",I326="Página"),1,0)</f>
        <v/>
      </c>
    </row>
    <row r="327">
      <c r="A327" s="3" t="n"/>
      <c r="B327" s="3" t="n"/>
      <c r="C327" s="3" t="n"/>
      <c r="D327" s="3" t="n"/>
      <c r="E327" s="3" t="n"/>
      <c r="F327" s="3" t="n"/>
      <c r="G327" s="4" t="n"/>
      <c r="H327" s="3" t="n"/>
      <c r="I327" s="3" t="n"/>
      <c r="J327" s="5">
        <f>IF(AND(D327="Venta",I327="Página"),1,0)</f>
        <v/>
      </c>
    </row>
    <row r="328">
      <c r="A328" s="3" t="n"/>
      <c r="B328" s="3" t="n"/>
      <c r="C328" s="3" t="n"/>
      <c r="D328" s="3" t="n"/>
      <c r="E328" s="3" t="n"/>
      <c r="F328" s="3" t="n"/>
      <c r="G328" s="4" t="n"/>
      <c r="H328" s="3" t="n"/>
      <c r="I328" s="3" t="n"/>
      <c r="J328" s="5">
        <f>IF(AND(D328="Venta",I328="Página"),1,0)</f>
        <v/>
      </c>
    </row>
    <row r="329">
      <c r="A329" s="3" t="n"/>
      <c r="B329" s="3" t="n"/>
      <c r="C329" s="3" t="n"/>
      <c r="D329" s="3" t="n"/>
      <c r="E329" s="3" t="n"/>
      <c r="F329" s="3" t="n"/>
      <c r="G329" s="4" t="n"/>
      <c r="H329" s="3" t="n"/>
      <c r="I329" s="3" t="n"/>
      <c r="J329" s="5">
        <f>IF(AND(D329="Venta",I329="Página"),1,0)</f>
        <v/>
      </c>
    </row>
    <row r="330">
      <c r="A330" s="3" t="n"/>
      <c r="B330" s="3" t="n"/>
      <c r="C330" s="3" t="n"/>
      <c r="D330" s="3" t="n"/>
      <c r="E330" s="3" t="n"/>
      <c r="F330" s="3" t="n"/>
      <c r="G330" s="4" t="n"/>
      <c r="H330" s="3" t="n"/>
      <c r="I330" s="3" t="n"/>
      <c r="J330" s="5">
        <f>IF(AND(D330="Venta",I330="Página"),1,0)</f>
        <v/>
      </c>
    </row>
    <row r="331">
      <c r="A331" s="3" t="n"/>
      <c r="B331" s="3" t="n"/>
      <c r="C331" s="3" t="n"/>
      <c r="D331" s="3" t="n"/>
      <c r="E331" s="3" t="n"/>
      <c r="F331" s="3" t="n"/>
      <c r="G331" s="4" t="n"/>
      <c r="H331" s="3" t="n"/>
      <c r="I331" s="3" t="n"/>
      <c r="J331" s="5">
        <f>IF(AND(D331="Venta",I331="Página"),1,0)</f>
        <v/>
      </c>
    </row>
    <row r="332">
      <c r="A332" s="3" t="n"/>
      <c r="B332" s="3" t="n"/>
      <c r="C332" s="3" t="n"/>
      <c r="D332" s="3" t="n"/>
      <c r="E332" s="3" t="n"/>
      <c r="F332" s="3" t="n"/>
      <c r="G332" s="4" t="n"/>
      <c r="H332" s="3" t="n"/>
      <c r="I332" s="3" t="n"/>
      <c r="J332" s="5">
        <f>IF(AND(D332="Venta",I332="Página"),1,0)</f>
        <v/>
      </c>
    </row>
    <row r="333">
      <c r="A333" s="3" t="n"/>
      <c r="B333" s="3" t="n"/>
      <c r="C333" s="3" t="n"/>
      <c r="D333" s="3" t="n"/>
      <c r="E333" s="3" t="n"/>
      <c r="F333" s="3" t="n"/>
      <c r="G333" s="4" t="n"/>
      <c r="H333" s="3" t="n"/>
      <c r="I333" s="3" t="n"/>
      <c r="J333" s="5">
        <f>IF(AND(D333="Venta",I333="Página"),1,0)</f>
        <v/>
      </c>
    </row>
    <row r="334">
      <c r="A334" s="3" t="n"/>
      <c r="B334" s="3" t="n"/>
      <c r="C334" s="3" t="n"/>
      <c r="D334" s="3" t="n"/>
      <c r="E334" s="3" t="n"/>
      <c r="F334" s="3" t="n"/>
      <c r="G334" s="4" t="n"/>
      <c r="H334" s="3" t="n"/>
      <c r="I334" s="3" t="n"/>
      <c r="J334" s="5">
        <f>IF(AND(D334="Venta",I334="Página"),1,0)</f>
        <v/>
      </c>
    </row>
    <row r="335">
      <c r="A335" s="3" t="n"/>
      <c r="B335" s="3" t="n"/>
      <c r="C335" s="3" t="n"/>
      <c r="D335" s="3" t="n"/>
      <c r="E335" s="3" t="n"/>
      <c r="F335" s="3" t="n"/>
      <c r="G335" s="4" t="n"/>
      <c r="H335" s="3" t="n"/>
      <c r="I335" s="3" t="n"/>
      <c r="J335" s="5">
        <f>IF(AND(D335="Venta",I335="Página"),1,0)</f>
        <v/>
      </c>
    </row>
    <row r="336">
      <c r="A336" s="3" t="n"/>
      <c r="B336" s="3" t="n"/>
      <c r="C336" s="3" t="n"/>
      <c r="D336" s="3" t="n"/>
      <c r="E336" s="3" t="n"/>
      <c r="F336" s="3" t="n"/>
      <c r="G336" s="4" t="n"/>
      <c r="H336" s="3" t="n"/>
      <c r="I336" s="3" t="n"/>
      <c r="J336" s="5">
        <f>IF(AND(D336="Venta",I336="Página"),1,0)</f>
        <v/>
      </c>
    </row>
    <row r="337">
      <c r="A337" s="3" t="n"/>
      <c r="B337" s="3" t="n"/>
      <c r="C337" s="3" t="n"/>
      <c r="D337" s="3" t="n"/>
      <c r="E337" s="3" t="n"/>
      <c r="F337" s="3" t="n"/>
      <c r="G337" s="4" t="n"/>
      <c r="H337" s="3" t="n"/>
      <c r="I337" s="3" t="n"/>
      <c r="J337" s="5">
        <f>IF(AND(D337="Venta",I337="Página"),1,0)</f>
        <v/>
      </c>
    </row>
    <row r="338">
      <c r="A338" s="3" t="n"/>
      <c r="B338" s="3" t="n"/>
      <c r="C338" s="3" t="n"/>
      <c r="D338" s="3" t="n"/>
      <c r="E338" s="3" t="n"/>
      <c r="F338" s="3" t="n"/>
      <c r="G338" s="4" t="n"/>
      <c r="H338" s="3" t="n"/>
      <c r="I338" s="3" t="n"/>
      <c r="J338" s="5">
        <f>IF(AND(D338="Venta",I338="Página"),1,0)</f>
        <v/>
      </c>
    </row>
    <row r="339">
      <c r="A339" s="3" t="n"/>
      <c r="B339" s="3" t="n"/>
      <c r="C339" s="3" t="n"/>
      <c r="D339" s="3" t="n"/>
      <c r="E339" s="3" t="n"/>
      <c r="F339" s="3" t="n"/>
      <c r="G339" s="4" t="n"/>
      <c r="H339" s="3" t="n"/>
      <c r="I339" s="3" t="n"/>
      <c r="J339" s="5">
        <f>IF(AND(D339="Venta",I339="Página"),1,0)</f>
        <v/>
      </c>
    </row>
    <row r="340">
      <c r="A340" s="3" t="n"/>
      <c r="B340" s="3" t="n"/>
      <c r="C340" s="3" t="n"/>
      <c r="D340" s="3" t="n"/>
      <c r="E340" s="3" t="n"/>
      <c r="F340" s="3" t="n"/>
      <c r="G340" s="4" t="n"/>
      <c r="H340" s="3" t="n"/>
      <c r="I340" s="3" t="n"/>
      <c r="J340" s="5">
        <f>IF(AND(D340="Venta",I340="Página"),1,0)</f>
        <v/>
      </c>
    </row>
    <row r="341">
      <c r="A341" s="3" t="n"/>
      <c r="B341" s="3" t="n"/>
      <c r="C341" s="3" t="n"/>
      <c r="D341" s="3" t="n"/>
      <c r="E341" s="3" t="n"/>
      <c r="F341" s="3" t="n"/>
      <c r="G341" s="4" t="n"/>
      <c r="H341" s="3" t="n"/>
      <c r="I341" s="3" t="n"/>
      <c r="J341" s="5">
        <f>IF(AND(D341="Venta",I341="Página"),1,0)</f>
        <v/>
      </c>
    </row>
    <row r="342">
      <c r="A342" s="3" t="n"/>
      <c r="B342" s="3" t="n"/>
      <c r="C342" s="3" t="n"/>
      <c r="D342" s="3" t="n"/>
      <c r="E342" s="3" t="n"/>
      <c r="F342" s="3" t="n"/>
      <c r="G342" s="4" t="n"/>
      <c r="H342" s="3" t="n"/>
      <c r="I342" s="3" t="n"/>
      <c r="J342" s="5">
        <f>IF(AND(D342="Venta",I342="Página"),1,0)</f>
        <v/>
      </c>
    </row>
    <row r="343">
      <c r="A343" s="3" t="n"/>
      <c r="B343" s="3" t="n"/>
      <c r="C343" s="3" t="n"/>
      <c r="D343" s="3" t="n"/>
      <c r="E343" s="3" t="n"/>
      <c r="F343" s="3" t="n"/>
      <c r="G343" s="4" t="n"/>
      <c r="H343" s="3" t="n"/>
      <c r="I343" s="3" t="n"/>
      <c r="J343" s="5">
        <f>IF(AND(D343="Venta",I343="Página"),1,0)</f>
        <v/>
      </c>
    </row>
    <row r="344">
      <c r="A344" s="3" t="n"/>
      <c r="B344" s="3" t="n"/>
      <c r="C344" s="3" t="n"/>
      <c r="D344" s="3" t="n"/>
      <c r="E344" s="3" t="n"/>
      <c r="F344" s="3" t="n"/>
      <c r="G344" s="4" t="n"/>
      <c r="H344" s="3" t="n"/>
      <c r="I344" s="3" t="n"/>
      <c r="J344" s="5">
        <f>IF(AND(D344="Venta",I344="Página"),1,0)</f>
        <v/>
      </c>
    </row>
    <row r="345">
      <c r="A345" s="3" t="n"/>
      <c r="B345" s="3" t="n"/>
      <c r="C345" s="3" t="n"/>
      <c r="D345" s="3" t="n"/>
      <c r="E345" s="3" t="n"/>
      <c r="F345" s="3" t="n"/>
      <c r="G345" s="4" t="n"/>
      <c r="H345" s="3" t="n"/>
      <c r="I345" s="3" t="n"/>
      <c r="J345" s="5">
        <f>IF(AND(D345="Venta",I345="Página"),1,0)</f>
        <v/>
      </c>
    </row>
    <row r="346">
      <c r="A346" s="3" t="n"/>
      <c r="B346" s="3" t="n"/>
      <c r="C346" s="3" t="n"/>
      <c r="D346" s="3" t="n"/>
      <c r="E346" s="3" t="n"/>
      <c r="F346" s="3" t="n"/>
      <c r="G346" s="4" t="n"/>
      <c r="H346" s="3" t="n"/>
      <c r="I346" s="3" t="n"/>
      <c r="J346" s="5">
        <f>IF(AND(D346="Venta",I346="Página"),1,0)</f>
        <v/>
      </c>
    </row>
    <row r="347">
      <c r="A347" s="3" t="n"/>
      <c r="B347" s="3" t="n"/>
      <c r="C347" s="3" t="n"/>
      <c r="D347" s="3" t="n"/>
      <c r="E347" s="3" t="n"/>
      <c r="F347" s="3" t="n"/>
      <c r="G347" s="4" t="n"/>
      <c r="H347" s="3" t="n"/>
      <c r="I347" s="3" t="n"/>
      <c r="J347" s="5">
        <f>IF(AND(D347="Venta",I347="Página"),1,0)</f>
        <v/>
      </c>
    </row>
    <row r="348">
      <c r="A348" s="3" t="n"/>
      <c r="B348" s="3" t="n"/>
      <c r="C348" s="3" t="n"/>
      <c r="D348" s="3" t="n"/>
      <c r="E348" s="3" t="n"/>
      <c r="F348" s="3" t="n"/>
      <c r="G348" s="4" t="n"/>
      <c r="H348" s="3" t="n"/>
      <c r="I348" s="3" t="n"/>
      <c r="J348" s="5">
        <f>IF(AND(D348="Venta",I348="Página"),1,0)</f>
        <v/>
      </c>
    </row>
    <row r="349">
      <c r="A349" s="3" t="n"/>
      <c r="B349" s="3" t="n"/>
      <c r="C349" s="3" t="n"/>
      <c r="D349" s="3" t="n"/>
      <c r="E349" s="3" t="n"/>
      <c r="F349" s="3" t="n"/>
      <c r="G349" s="4" t="n"/>
      <c r="H349" s="3" t="n"/>
      <c r="I349" s="3" t="n"/>
      <c r="J349" s="5">
        <f>IF(AND(D349="Venta",I349="Página"),1,0)</f>
        <v/>
      </c>
    </row>
    <row r="350">
      <c r="A350" s="3" t="n"/>
      <c r="B350" s="3" t="n"/>
      <c r="C350" s="3" t="n"/>
      <c r="D350" s="3" t="n"/>
      <c r="E350" s="3" t="n"/>
      <c r="F350" s="3" t="n"/>
      <c r="G350" s="4" t="n"/>
      <c r="H350" s="3" t="n"/>
      <c r="I350" s="3" t="n"/>
      <c r="J350" s="5">
        <f>IF(AND(D350="Venta",I350="Página"),1,0)</f>
        <v/>
      </c>
    </row>
    <row r="351">
      <c r="A351" s="3" t="n"/>
      <c r="B351" s="3" t="n"/>
      <c r="C351" s="3" t="n"/>
      <c r="D351" s="3" t="n"/>
      <c r="E351" s="3" t="n"/>
      <c r="F351" s="3" t="n"/>
      <c r="G351" s="4" t="n"/>
      <c r="H351" s="3" t="n"/>
      <c r="I351" s="3" t="n"/>
      <c r="J351" s="5">
        <f>IF(AND(D351="Venta",I351="Página"),1,0)</f>
        <v/>
      </c>
    </row>
    <row r="352">
      <c r="A352" s="3" t="n"/>
      <c r="B352" s="3" t="n"/>
      <c r="C352" s="3" t="n"/>
      <c r="D352" s="3" t="n"/>
      <c r="E352" s="3" t="n"/>
      <c r="F352" s="3" t="n"/>
      <c r="G352" s="4" t="n"/>
      <c r="H352" s="3" t="n"/>
      <c r="I352" s="3" t="n"/>
      <c r="J352" s="5">
        <f>IF(AND(D352="Venta",I352="Página"),1,0)</f>
        <v/>
      </c>
    </row>
    <row r="353">
      <c r="A353" s="3" t="n"/>
      <c r="B353" s="3" t="n"/>
      <c r="C353" s="3" t="n"/>
      <c r="D353" s="3" t="n"/>
      <c r="E353" s="3" t="n"/>
      <c r="F353" s="3" t="n"/>
      <c r="G353" s="4" t="n"/>
      <c r="H353" s="3" t="n"/>
      <c r="I353" s="3" t="n"/>
      <c r="J353" s="5">
        <f>IF(AND(D353="Venta",I353="Página"),1,0)</f>
        <v/>
      </c>
    </row>
    <row r="354">
      <c r="A354" s="3" t="n"/>
      <c r="B354" s="3" t="n"/>
      <c r="C354" s="3" t="n"/>
      <c r="D354" s="3" t="n"/>
      <c r="E354" s="3" t="n"/>
      <c r="F354" s="3" t="n"/>
      <c r="G354" s="4" t="n"/>
      <c r="H354" s="3" t="n"/>
      <c r="I354" s="3" t="n"/>
      <c r="J354" s="5">
        <f>IF(AND(D354="Venta",I354="Página"),1,0)</f>
        <v/>
      </c>
    </row>
    <row r="355">
      <c r="A355" s="3" t="n"/>
      <c r="B355" s="3" t="n"/>
      <c r="C355" s="3" t="n"/>
      <c r="D355" s="3" t="n"/>
      <c r="E355" s="3" t="n"/>
      <c r="F355" s="3" t="n"/>
      <c r="G355" s="4" t="n"/>
      <c r="H355" s="3" t="n"/>
      <c r="I355" s="3" t="n"/>
      <c r="J355" s="5">
        <f>IF(AND(D355="Venta",I355="Página"),1,0)</f>
        <v/>
      </c>
    </row>
    <row r="356">
      <c r="A356" s="3" t="n"/>
      <c r="B356" s="3" t="n"/>
      <c r="C356" s="3" t="n"/>
      <c r="D356" s="3" t="n"/>
      <c r="E356" s="3" t="n"/>
      <c r="F356" s="3" t="n"/>
      <c r="G356" s="4" t="n"/>
      <c r="H356" s="3" t="n"/>
      <c r="I356" s="3" t="n"/>
      <c r="J356" s="5">
        <f>IF(AND(D356="Venta",I356="Página"),1,0)</f>
        <v/>
      </c>
    </row>
    <row r="357">
      <c r="A357" s="3" t="n"/>
      <c r="B357" s="3" t="n"/>
      <c r="C357" s="3" t="n"/>
      <c r="D357" s="3" t="n"/>
      <c r="E357" s="3" t="n"/>
      <c r="F357" s="3" t="n"/>
      <c r="G357" s="4" t="n"/>
      <c r="H357" s="3" t="n"/>
      <c r="I357" s="3" t="n"/>
      <c r="J357" s="5">
        <f>IF(AND(D357="Venta",I357="Página"),1,0)</f>
        <v/>
      </c>
    </row>
    <row r="358">
      <c r="A358" s="3" t="n"/>
      <c r="B358" s="3" t="n"/>
      <c r="C358" s="3" t="n"/>
      <c r="D358" s="3" t="n"/>
      <c r="E358" s="3" t="n"/>
      <c r="F358" s="3" t="n"/>
      <c r="G358" s="4" t="n"/>
      <c r="H358" s="3" t="n"/>
      <c r="I358" s="3" t="n"/>
      <c r="J358" s="5">
        <f>IF(AND(D358="Venta",I358="Página"),1,0)</f>
        <v/>
      </c>
    </row>
    <row r="359">
      <c r="A359" s="3" t="n"/>
      <c r="B359" s="3" t="n"/>
      <c r="C359" s="3" t="n"/>
      <c r="D359" s="3" t="n"/>
      <c r="E359" s="3" t="n"/>
      <c r="F359" s="3" t="n"/>
      <c r="G359" s="4" t="n"/>
      <c r="H359" s="3" t="n"/>
      <c r="I359" s="3" t="n"/>
      <c r="J359" s="5">
        <f>IF(AND(D359="Venta",I359="Página"),1,0)</f>
        <v/>
      </c>
    </row>
    <row r="360">
      <c r="A360" s="3" t="n"/>
      <c r="B360" s="3" t="n"/>
      <c r="C360" s="3" t="n"/>
      <c r="D360" s="3" t="n"/>
      <c r="E360" s="3" t="n"/>
      <c r="F360" s="3" t="n"/>
      <c r="G360" s="4" t="n"/>
      <c r="H360" s="3" t="n"/>
      <c r="I360" s="3" t="n"/>
      <c r="J360" s="5">
        <f>IF(AND(D360="Venta",I360="Página"),1,0)</f>
        <v/>
      </c>
    </row>
    <row r="361">
      <c r="A361" s="3" t="n"/>
      <c r="B361" s="3" t="n"/>
      <c r="C361" s="3" t="n"/>
      <c r="D361" s="3" t="n"/>
      <c r="E361" s="3" t="n"/>
      <c r="F361" s="3" t="n"/>
      <c r="G361" s="4" t="n"/>
      <c r="H361" s="3" t="n"/>
      <c r="I361" s="3" t="n"/>
      <c r="J361" s="5">
        <f>IF(AND(D361="Venta",I361="Página"),1,0)</f>
        <v/>
      </c>
    </row>
    <row r="362">
      <c r="A362" s="3" t="n"/>
      <c r="B362" s="3" t="n"/>
      <c r="C362" s="3" t="n"/>
      <c r="D362" s="3" t="n"/>
      <c r="E362" s="3" t="n"/>
      <c r="F362" s="3" t="n"/>
      <c r="G362" s="4" t="n"/>
      <c r="H362" s="3" t="n"/>
      <c r="I362" s="3" t="n"/>
      <c r="J362" s="5">
        <f>IF(AND(D362="Venta",I362="Página"),1,0)</f>
        <v/>
      </c>
    </row>
    <row r="363">
      <c r="A363" s="3" t="n"/>
      <c r="B363" s="3" t="n"/>
      <c r="C363" s="3" t="n"/>
      <c r="D363" s="3" t="n"/>
      <c r="E363" s="3" t="n"/>
      <c r="F363" s="3" t="n"/>
      <c r="G363" s="4" t="n"/>
      <c r="H363" s="3" t="n"/>
      <c r="I363" s="3" t="n"/>
      <c r="J363" s="5">
        <f>IF(AND(D363="Venta",I363="Página"),1,0)</f>
        <v/>
      </c>
    </row>
    <row r="364">
      <c r="A364" s="3" t="n"/>
      <c r="B364" s="3" t="n"/>
      <c r="C364" s="3" t="n"/>
      <c r="D364" s="3" t="n"/>
      <c r="E364" s="3" t="n"/>
      <c r="F364" s="3" t="n"/>
      <c r="G364" s="4" t="n"/>
      <c r="H364" s="3" t="n"/>
      <c r="I364" s="3" t="n"/>
      <c r="J364" s="5">
        <f>IF(AND(D364="Venta",I364="Página"),1,0)</f>
        <v/>
      </c>
    </row>
    <row r="365">
      <c r="A365" s="3" t="n"/>
      <c r="B365" s="3" t="n"/>
      <c r="C365" s="3" t="n"/>
      <c r="D365" s="3" t="n"/>
      <c r="E365" s="3" t="n"/>
      <c r="F365" s="3" t="n"/>
      <c r="G365" s="4" t="n"/>
      <c r="H365" s="3" t="n"/>
      <c r="I365" s="3" t="n"/>
      <c r="J365" s="5">
        <f>IF(AND(D365="Venta",I365="Página"),1,0)</f>
        <v/>
      </c>
    </row>
    <row r="366">
      <c r="A366" s="3" t="n"/>
      <c r="B366" s="3" t="n"/>
      <c r="C366" s="3" t="n"/>
      <c r="D366" s="3" t="n"/>
      <c r="E366" s="3" t="n"/>
      <c r="F366" s="3" t="n"/>
      <c r="G366" s="4" t="n"/>
      <c r="H366" s="3" t="n"/>
      <c r="I366" s="3" t="n"/>
      <c r="J366" s="5">
        <f>IF(AND(D366="Venta",I366="Página"),1,0)</f>
        <v/>
      </c>
    </row>
    <row r="367">
      <c r="A367" s="3" t="n"/>
      <c r="B367" s="3" t="n"/>
      <c r="C367" s="3" t="n"/>
      <c r="D367" s="3" t="n"/>
      <c r="E367" s="3" t="n"/>
      <c r="F367" s="3" t="n"/>
      <c r="G367" s="4" t="n"/>
      <c r="H367" s="3" t="n"/>
      <c r="I367" s="3" t="n"/>
      <c r="J367" s="5">
        <f>IF(AND(D367="Venta",I367="Página"),1,0)</f>
        <v/>
      </c>
    </row>
    <row r="368">
      <c r="A368" s="3" t="n"/>
      <c r="B368" s="3" t="n"/>
      <c r="C368" s="3" t="n"/>
      <c r="D368" s="3" t="n"/>
      <c r="E368" s="3" t="n"/>
      <c r="F368" s="3" t="n"/>
      <c r="G368" s="4" t="n"/>
      <c r="H368" s="3" t="n"/>
      <c r="I368" s="3" t="n"/>
      <c r="J368" s="5">
        <f>IF(AND(D368="Venta",I368="Página"),1,0)</f>
        <v/>
      </c>
    </row>
    <row r="369">
      <c r="A369" s="3" t="n"/>
      <c r="B369" s="3" t="n"/>
      <c r="C369" s="3" t="n"/>
      <c r="D369" s="3" t="n"/>
      <c r="E369" s="3" t="n"/>
      <c r="F369" s="3" t="n"/>
      <c r="G369" s="4" t="n"/>
      <c r="H369" s="3" t="n"/>
      <c r="I369" s="3" t="n"/>
      <c r="J369" s="5">
        <f>IF(AND(D369="Venta",I369="Página"),1,0)</f>
        <v/>
      </c>
    </row>
    <row r="370">
      <c r="A370" s="3" t="n"/>
      <c r="B370" s="3" t="n"/>
      <c r="C370" s="3" t="n"/>
      <c r="D370" s="3" t="n"/>
      <c r="E370" s="3" t="n"/>
      <c r="F370" s="3" t="n"/>
      <c r="G370" s="4" t="n"/>
      <c r="H370" s="3" t="n"/>
      <c r="I370" s="3" t="n"/>
      <c r="J370" s="5">
        <f>IF(AND(D370="Venta",I370="Página"),1,0)</f>
        <v/>
      </c>
    </row>
    <row r="371">
      <c r="A371" s="3" t="n"/>
      <c r="B371" s="3" t="n"/>
      <c r="C371" s="3" t="n"/>
      <c r="D371" s="3" t="n"/>
      <c r="E371" s="3" t="n"/>
      <c r="F371" s="3" t="n"/>
      <c r="G371" s="4" t="n"/>
      <c r="H371" s="3" t="n"/>
      <c r="I371" s="3" t="n"/>
      <c r="J371" s="5">
        <f>IF(AND(D371="Venta",I371="Página"),1,0)</f>
        <v/>
      </c>
    </row>
    <row r="372">
      <c r="A372" s="3" t="n"/>
      <c r="B372" s="3" t="n"/>
      <c r="C372" s="3" t="n"/>
      <c r="D372" s="3" t="n"/>
      <c r="E372" s="3" t="n"/>
      <c r="F372" s="3" t="n"/>
      <c r="G372" s="4" t="n"/>
      <c r="H372" s="3" t="n"/>
      <c r="I372" s="3" t="n"/>
      <c r="J372" s="5">
        <f>IF(AND(D372="Venta",I372="Página"),1,0)</f>
        <v/>
      </c>
    </row>
    <row r="373">
      <c r="A373" s="3" t="n"/>
      <c r="B373" s="3" t="n"/>
      <c r="C373" s="3" t="n"/>
      <c r="D373" s="3" t="n"/>
      <c r="E373" s="3" t="n"/>
      <c r="F373" s="3" t="n"/>
      <c r="G373" s="4" t="n"/>
      <c r="H373" s="3" t="n"/>
      <c r="I373" s="3" t="n"/>
      <c r="J373" s="5">
        <f>IF(AND(D373="Venta",I373="Página"),1,0)</f>
        <v/>
      </c>
    </row>
    <row r="374">
      <c r="A374" s="3" t="n"/>
      <c r="B374" s="3" t="n"/>
      <c r="C374" s="3" t="n"/>
      <c r="D374" s="3" t="n"/>
      <c r="E374" s="3" t="n"/>
      <c r="F374" s="3" t="n"/>
      <c r="G374" s="4" t="n"/>
      <c r="H374" s="3" t="n"/>
      <c r="I374" s="3" t="n"/>
      <c r="J374" s="5">
        <f>IF(AND(D374="Venta",I374="Página"),1,0)</f>
        <v/>
      </c>
    </row>
    <row r="375">
      <c r="A375" s="3" t="n"/>
      <c r="B375" s="3" t="n"/>
      <c r="C375" s="3" t="n"/>
      <c r="D375" s="3" t="n"/>
      <c r="E375" s="3" t="n"/>
      <c r="F375" s="3" t="n"/>
      <c r="G375" s="4" t="n"/>
      <c r="H375" s="3" t="n"/>
      <c r="I375" s="3" t="n"/>
      <c r="J375" s="5">
        <f>IF(AND(D375="Venta",I375="Página"),1,0)</f>
        <v/>
      </c>
    </row>
    <row r="376">
      <c r="A376" s="3" t="n"/>
      <c r="B376" s="3" t="n"/>
      <c r="C376" s="3" t="n"/>
      <c r="D376" s="3" t="n"/>
      <c r="E376" s="3" t="n"/>
      <c r="F376" s="3" t="n"/>
      <c r="G376" s="4" t="n"/>
      <c r="H376" s="3" t="n"/>
      <c r="I376" s="3" t="n"/>
      <c r="J376" s="5">
        <f>IF(AND(D376="Venta",I376="Página"),1,0)</f>
        <v/>
      </c>
    </row>
    <row r="377">
      <c r="A377" s="3" t="n"/>
      <c r="B377" s="3" t="n"/>
      <c r="C377" s="3" t="n"/>
      <c r="D377" s="3" t="n"/>
      <c r="E377" s="3" t="n"/>
      <c r="F377" s="3" t="n"/>
      <c r="G377" s="4" t="n"/>
      <c r="H377" s="3" t="n"/>
      <c r="I377" s="3" t="n"/>
      <c r="J377" s="5">
        <f>IF(AND(D377="Venta",I377="Página"),1,0)</f>
        <v/>
      </c>
    </row>
    <row r="378">
      <c r="A378" s="3" t="n"/>
      <c r="B378" s="3" t="n"/>
      <c r="C378" s="3" t="n"/>
      <c r="D378" s="3" t="n"/>
      <c r="E378" s="3" t="n"/>
      <c r="F378" s="3" t="n"/>
      <c r="G378" s="4" t="n"/>
      <c r="H378" s="3" t="n"/>
      <c r="I378" s="3" t="n"/>
      <c r="J378" s="5">
        <f>IF(AND(D378="Venta",I378="Página"),1,0)</f>
        <v/>
      </c>
    </row>
    <row r="379">
      <c r="A379" s="3" t="n"/>
      <c r="B379" s="3" t="n"/>
      <c r="C379" s="3" t="n"/>
      <c r="D379" s="3" t="n"/>
      <c r="E379" s="3" t="n"/>
      <c r="F379" s="3" t="n"/>
      <c r="G379" s="4" t="n"/>
      <c r="H379" s="3" t="n"/>
      <c r="I379" s="3" t="n"/>
      <c r="J379" s="5">
        <f>IF(AND(D379="Venta",I379="Página"),1,0)</f>
        <v/>
      </c>
    </row>
    <row r="380">
      <c r="A380" s="3" t="n"/>
      <c r="B380" s="3" t="n"/>
      <c r="C380" s="3" t="n"/>
      <c r="D380" s="3" t="n"/>
      <c r="E380" s="3" t="n"/>
      <c r="F380" s="3" t="n"/>
      <c r="G380" s="4" t="n"/>
      <c r="H380" s="3" t="n"/>
      <c r="I380" s="3" t="n"/>
      <c r="J380" s="5">
        <f>IF(AND(D380="Venta",I380="Página"),1,0)</f>
        <v/>
      </c>
    </row>
    <row r="381">
      <c r="A381" s="3" t="n"/>
      <c r="B381" s="3" t="n"/>
      <c r="C381" s="3" t="n"/>
      <c r="D381" s="3" t="n"/>
      <c r="E381" s="3" t="n"/>
      <c r="F381" s="3" t="n"/>
      <c r="G381" s="4" t="n"/>
      <c r="H381" s="3" t="n"/>
      <c r="I381" s="3" t="n"/>
      <c r="J381" s="5">
        <f>IF(AND(D381="Venta",I381="Página"),1,0)</f>
        <v/>
      </c>
    </row>
    <row r="382">
      <c r="A382" s="3" t="n"/>
      <c r="B382" s="3" t="n"/>
      <c r="C382" s="3" t="n"/>
      <c r="D382" s="3" t="n"/>
      <c r="E382" s="3" t="n"/>
      <c r="F382" s="3" t="n"/>
      <c r="G382" s="4" t="n"/>
      <c r="H382" s="3" t="n"/>
      <c r="I382" s="3" t="n"/>
      <c r="J382" s="5">
        <f>IF(AND(D382="Venta",I382="Página"),1,0)</f>
        <v/>
      </c>
    </row>
    <row r="383">
      <c r="A383" s="3" t="n"/>
      <c r="B383" s="3" t="n"/>
      <c r="C383" s="3" t="n"/>
      <c r="D383" s="3" t="n"/>
      <c r="E383" s="3" t="n"/>
      <c r="F383" s="3" t="n"/>
      <c r="G383" s="4" t="n"/>
      <c r="H383" s="3" t="n"/>
      <c r="I383" s="3" t="n"/>
      <c r="J383" s="5">
        <f>IF(AND(D383="Venta",I383="Página"),1,0)</f>
        <v/>
      </c>
    </row>
    <row r="384">
      <c r="A384" s="3" t="n"/>
      <c r="B384" s="3" t="n"/>
      <c r="C384" s="3" t="n"/>
      <c r="D384" s="3" t="n"/>
      <c r="E384" s="3" t="n"/>
      <c r="F384" s="3" t="n"/>
      <c r="G384" s="4" t="n"/>
      <c r="H384" s="3" t="n"/>
      <c r="I384" s="3" t="n"/>
      <c r="J384" s="5">
        <f>IF(AND(D384="Venta",I384="Página"),1,0)</f>
        <v/>
      </c>
    </row>
    <row r="385">
      <c r="A385" s="3" t="n"/>
      <c r="B385" s="3" t="n"/>
      <c r="C385" s="3" t="n"/>
      <c r="D385" s="3" t="n"/>
      <c r="E385" s="3" t="n"/>
      <c r="F385" s="3" t="n"/>
      <c r="G385" s="4" t="n"/>
      <c r="H385" s="3" t="n"/>
      <c r="I385" s="3" t="n"/>
      <c r="J385" s="5">
        <f>IF(AND(D385="Venta",I385="Página"),1,0)</f>
        <v/>
      </c>
    </row>
    <row r="386">
      <c r="A386" s="3" t="n"/>
      <c r="B386" s="3" t="n"/>
      <c r="C386" s="3" t="n"/>
      <c r="D386" s="3" t="n"/>
      <c r="E386" s="3" t="n"/>
      <c r="F386" s="3" t="n"/>
      <c r="G386" s="4" t="n"/>
      <c r="H386" s="3" t="n"/>
      <c r="I386" s="3" t="n"/>
      <c r="J386" s="5">
        <f>IF(AND(D386="Venta",I386="Página"),1,0)</f>
        <v/>
      </c>
    </row>
    <row r="387">
      <c r="A387" s="3" t="n"/>
      <c r="B387" s="3" t="n"/>
      <c r="C387" s="3" t="n"/>
      <c r="D387" s="3" t="n"/>
      <c r="E387" s="3" t="n"/>
      <c r="F387" s="3" t="n"/>
      <c r="G387" s="4" t="n"/>
      <c r="H387" s="3" t="n"/>
      <c r="I387" s="3" t="n"/>
      <c r="J387" s="5">
        <f>IF(AND(D387="Venta",I387="Página"),1,0)</f>
        <v/>
      </c>
    </row>
    <row r="388">
      <c r="A388" s="3" t="n"/>
      <c r="B388" s="3" t="n"/>
      <c r="C388" s="3" t="n"/>
      <c r="D388" s="3" t="n"/>
      <c r="E388" s="3" t="n"/>
      <c r="F388" s="3" t="n"/>
      <c r="G388" s="4" t="n"/>
      <c r="H388" s="3" t="n"/>
      <c r="I388" s="3" t="n"/>
      <c r="J388" s="5">
        <f>IF(AND(D388="Venta",I388="Página"),1,0)</f>
        <v/>
      </c>
    </row>
    <row r="389">
      <c r="A389" s="3" t="n"/>
      <c r="B389" s="3" t="n"/>
      <c r="C389" s="3" t="n"/>
      <c r="D389" s="3" t="n"/>
      <c r="E389" s="3" t="n"/>
      <c r="F389" s="3" t="n"/>
      <c r="G389" s="4" t="n"/>
      <c r="H389" s="3" t="n"/>
      <c r="I389" s="3" t="n"/>
      <c r="J389" s="5">
        <f>IF(AND(D389="Venta",I389="Página"),1,0)</f>
        <v/>
      </c>
    </row>
    <row r="390">
      <c r="A390" s="3" t="n"/>
      <c r="B390" s="3" t="n"/>
      <c r="C390" s="3" t="n"/>
      <c r="D390" s="3" t="n"/>
      <c r="E390" s="3" t="n"/>
      <c r="F390" s="3" t="n"/>
      <c r="G390" s="4" t="n"/>
      <c r="H390" s="3" t="n"/>
      <c r="I390" s="3" t="n"/>
      <c r="J390" s="5">
        <f>IF(AND(D390="Venta",I390="Página"),1,0)</f>
        <v/>
      </c>
    </row>
    <row r="391">
      <c r="A391" s="3" t="n"/>
      <c r="B391" s="3" t="n"/>
      <c r="C391" s="3" t="n"/>
      <c r="D391" s="3" t="n"/>
      <c r="E391" s="3" t="n"/>
      <c r="F391" s="3" t="n"/>
      <c r="G391" s="4" t="n"/>
      <c r="H391" s="3" t="n"/>
      <c r="I391" s="3" t="n"/>
      <c r="J391" s="5">
        <f>IF(AND(D391="Venta",I391="Página"),1,0)</f>
        <v/>
      </c>
    </row>
    <row r="392">
      <c r="A392" s="3" t="n"/>
      <c r="B392" s="3" t="n"/>
      <c r="C392" s="3" t="n"/>
      <c r="D392" s="3" t="n"/>
      <c r="E392" s="3" t="n"/>
      <c r="F392" s="3" t="n"/>
      <c r="G392" s="4" t="n"/>
      <c r="H392" s="3" t="n"/>
      <c r="I392" s="3" t="n"/>
      <c r="J392" s="5">
        <f>IF(AND(D392="Venta",I392="Página"),1,0)</f>
        <v/>
      </c>
    </row>
    <row r="393">
      <c r="A393" s="3" t="n"/>
      <c r="B393" s="3" t="n"/>
      <c r="C393" s="3" t="n"/>
      <c r="D393" s="3" t="n"/>
      <c r="E393" s="3" t="n"/>
      <c r="F393" s="3" t="n"/>
      <c r="G393" s="4" t="n"/>
      <c r="H393" s="3" t="n"/>
      <c r="I393" s="3" t="n"/>
      <c r="J393" s="5">
        <f>IF(AND(D393="Venta",I393="Página"),1,0)</f>
        <v/>
      </c>
    </row>
    <row r="394">
      <c r="A394" s="3" t="n"/>
      <c r="B394" s="3" t="n"/>
      <c r="C394" s="3" t="n"/>
      <c r="D394" s="3" t="n"/>
      <c r="E394" s="3" t="n"/>
      <c r="F394" s="3" t="n"/>
      <c r="G394" s="4" t="n"/>
      <c r="H394" s="3" t="n"/>
      <c r="I394" s="3" t="n"/>
      <c r="J394" s="5">
        <f>IF(AND(D394="Venta",I394="Página"),1,0)</f>
        <v/>
      </c>
    </row>
    <row r="395">
      <c r="A395" s="3" t="n"/>
      <c r="B395" s="3" t="n"/>
      <c r="C395" s="3" t="n"/>
      <c r="D395" s="3" t="n"/>
      <c r="E395" s="3" t="n"/>
      <c r="F395" s="3" t="n"/>
      <c r="G395" s="4" t="n"/>
      <c r="H395" s="3" t="n"/>
      <c r="I395" s="3" t="n"/>
      <c r="J395" s="5">
        <f>IF(AND(D395="Venta",I395="Página"),1,0)</f>
        <v/>
      </c>
    </row>
    <row r="396">
      <c r="A396" s="3" t="n"/>
      <c r="B396" s="3" t="n"/>
      <c r="C396" s="3" t="n"/>
      <c r="D396" s="3" t="n"/>
      <c r="E396" s="3" t="n"/>
      <c r="F396" s="3" t="n"/>
      <c r="G396" s="4" t="n"/>
      <c r="H396" s="3" t="n"/>
      <c r="I396" s="3" t="n"/>
      <c r="J396" s="5">
        <f>IF(AND(D396="Venta",I396="Página"),1,0)</f>
        <v/>
      </c>
    </row>
    <row r="397">
      <c r="A397" s="3" t="n"/>
      <c r="B397" s="3" t="n"/>
      <c r="C397" s="3" t="n"/>
      <c r="D397" s="3" t="n"/>
      <c r="E397" s="3" t="n"/>
      <c r="F397" s="3" t="n"/>
      <c r="G397" s="4" t="n"/>
      <c r="H397" s="3" t="n"/>
      <c r="I397" s="3" t="n"/>
      <c r="J397" s="5">
        <f>IF(AND(D397="Venta",I397="Página"),1,0)</f>
        <v/>
      </c>
    </row>
    <row r="398">
      <c r="A398" s="3" t="n"/>
      <c r="B398" s="3" t="n"/>
      <c r="C398" s="3" t="n"/>
      <c r="D398" s="3" t="n"/>
      <c r="E398" s="3" t="n"/>
      <c r="F398" s="3" t="n"/>
      <c r="G398" s="4" t="n"/>
      <c r="H398" s="3" t="n"/>
      <c r="I398" s="3" t="n"/>
      <c r="J398" s="5">
        <f>IF(AND(D398="Venta",I398="Página"),1,0)</f>
        <v/>
      </c>
    </row>
    <row r="399">
      <c r="A399" s="3" t="n"/>
      <c r="B399" s="3" t="n"/>
      <c r="C399" s="3" t="n"/>
      <c r="D399" s="3" t="n"/>
      <c r="E399" s="3" t="n"/>
      <c r="F399" s="3" t="n"/>
      <c r="G399" s="4" t="n"/>
      <c r="H399" s="3" t="n"/>
      <c r="I399" s="3" t="n"/>
      <c r="J399" s="5">
        <f>IF(AND(D399="Venta",I399="Página"),1,0)</f>
        <v/>
      </c>
    </row>
    <row r="400">
      <c r="A400" s="3" t="n"/>
      <c r="B400" s="3" t="n"/>
      <c r="C400" s="3" t="n"/>
      <c r="D400" s="3" t="n"/>
      <c r="E400" s="3" t="n"/>
      <c r="F400" s="3" t="n"/>
      <c r="G400" s="4" t="n"/>
      <c r="H400" s="3" t="n"/>
      <c r="I400" s="3" t="n"/>
      <c r="J400" s="5">
        <f>IF(AND(D400="Venta",I400="Página"),1,0)</f>
        <v/>
      </c>
    </row>
    <row r="401">
      <c r="A401" s="3" t="n"/>
      <c r="B401" s="3" t="n"/>
      <c r="C401" s="3" t="n"/>
      <c r="D401" s="3" t="n"/>
      <c r="E401" s="3" t="n"/>
      <c r="F401" s="3" t="n"/>
      <c r="G401" s="4" t="n"/>
      <c r="H401" s="3" t="n"/>
      <c r="I401" s="3" t="n"/>
      <c r="J401" s="5">
        <f>IF(AND(D401="Venta",I401="Página"),1,0)</f>
        <v/>
      </c>
    </row>
    <row r="402">
      <c r="A402" s="3" t="n"/>
      <c r="B402" s="3" t="n"/>
      <c r="C402" s="3" t="n"/>
      <c r="D402" s="3" t="n"/>
      <c r="E402" s="3" t="n"/>
      <c r="F402" s="3" t="n"/>
      <c r="G402" s="4" t="n"/>
      <c r="H402" s="3" t="n"/>
      <c r="I402" s="3" t="n"/>
      <c r="J402" s="5">
        <f>IF(AND(D402="Venta",I402="Página"),1,0)</f>
        <v/>
      </c>
    </row>
    <row r="403">
      <c r="A403" s="3" t="n"/>
      <c r="B403" s="3" t="n"/>
      <c r="C403" s="3" t="n"/>
      <c r="D403" s="3" t="n"/>
      <c r="E403" s="3" t="n"/>
      <c r="F403" s="3" t="n"/>
      <c r="G403" s="4" t="n"/>
      <c r="H403" s="3" t="n"/>
      <c r="I403" s="3" t="n"/>
      <c r="J403" s="5">
        <f>IF(AND(D403="Venta",I403="Página"),1,0)</f>
        <v/>
      </c>
    </row>
    <row r="404">
      <c r="A404" s="3" t="n"/>
      <c r="B404" s="3" t="n"/>
      <c r="C404" s="3" t="n"/>
      <c r="D404" s="3" t="n"/>
      <c r="E404" s="3" t="n"/>
      <c r="F404" s="3" t="n"/>
      <c r="G404" s="4" t="n"/>
      <c r="H404" s="3" t="n"/>
      <c r="I404" s="3" t="n"/>
      <c r="J404" s="5">
        <f>IF(AND(D404="Venta",I404="Página"),1,0)</f>
        <v/>
      </c>
    </row>
    <row r="405">
      <c r="A405" s="3" t="n"/>
      <c r="B405" s="3" t="n"/>
      <c r="C405" s="3" t="n"/>
      <c r="D405" s="3" t="n"/>
      <c r="E405" s="3" t="n"/>
      <c r="F405" s="3" t="n"/>
      <c r="G405" s="4" t="n"/>
      <c r="H405" s="3" t="n"/>
      <c r="I405" s="3" t="n"/>
      <c r="J405" s="5">
        <f>IF(AND(D405="Venta",I405="Página"),1,0)</f>
        <v/>
      </c>
    </row>
    <row r="406">
      <c r="A406" s="3" t="n"/>
      <c r="B406" s="3" t="n"/>
      <c r="C406" s="3" t="n"/>
      <c r="D406" s="3" t="n"/>
      <c r="E406" s="3" t="n"/>
      <c r="F406" s="3" t="n"/>
      <c r="G406" s="4" t="n"/>
      <c r="H406" s="3" t="n"/>
      <c r="I406" s="3" t="n"/>
      <c r="J406" s="5">
        <f>IF(AND(D406="Venta",I406="Página"),1,0)</f>
        <v/>
      </c>
    </row>
    <row r="407">
      <c r="A407" s="3" t="n"/>
      <c r="B407" s="3" t="n"/>
      <c r="C407" s="3" t="n"/>
      <c r="D407" s="3" t="n"/>
      <c r="E407" s="3" t="n"/>
      <c r="F407" s="3" t="n"/>
      <c r="G407" s="4" t="n"/>
      <c r="H407" s="3" t="n"/>
      <c r="I407" s="3" t="n"/>
      <c r="J407" s="5">
        <f>IF(AND(D407="Venta",I407="Página"),1,0)</f>
        <v/>
      </c>
    </row>
    <row r="408">
      <c r="A408" s="3" t="n"/>
      <c r="B408" s="3" t="n"/>
      <c r="C408" s="3" t="n"/>
      <c r="D408" s="3" t="n"/>
      <c r="E408" s="3" t="n"/>
      <c r="F408" s="3" t="n"/>
      <c r="G408" s="4" t="n"/>
      <c r="H408" s="3" t="n"/>
      <c r="I408" s="3" t="n"/>
      <c r="J408" s="5">
        <f>IF(AND(D408="Venta",I408="Página"),1,0)</f>
        <v/>
      </c>
    </row>
    <row r="409">
      <c r="A409" s="3" t="n"/>
      <c r="B409" s="3" t="n"/>
      <c r="C409" s="3" t="n"/>
      <c r="D409" s="3" t="n"/>
      <c r="E409" s="3" t="n"/>
      <c r="F409" s="3" t="n"/>
      <c r="G409" s="4" t="n"/>
      <c r="H409" s="3" t="n"/>
      <c r="I409" s="3" t="n"/>
      <c r="J409" s="5">
        <f>IF(AND(D409="Venta",I409="Página"),1,0)</f>
        <v/>
      </c>
    </row>
    <row r="410">
      <c r="A410" s="3" t="n"/>
      <c r="B410" s="3" t="n"/>
      <c r="C410" s="3" t="n"/>
      <c r="D410" s="3" t="n"/>
      <c r="E410" s="3" t="n"/>
      <c r="F410" s="3" t="n"/>
      <c r="G410" s="4" t="n"/>
      <c r="H410" s="3" t="n"/>
      <c r="I410" s="3" t="n"/>
      <c r="J410" s="5">
        <f>IF(AND(D410="Venta",I410="Página"),1,0)</f>
        <v/>
      </c>
    </row>
    <row r="411">
      <c r="A411" s="3" t="n"/>
      <c r="B411" s="3" t="n"/>
      <c r="C411" s="3" t="n"/>
      <c r="D411" s="3" t="n"/>
      <c r="E411" s="3" t="n"/>
      <c r="F411" s="3" t="n"/>
      <c r="G411" s="4" t="n"/>
      <c r="H411" s="3" t="n"/>
      <c r="I411" s="3" t="n"/>
      <c r="J411" s="5">
        <f>IF(AND(D411="Venta",I411="Página"),1,0)</f>
        <v/>
      </c>
    </row>
    <row r="412">
      <c r="A412" s="3" t="n"/>
      <c r="B412" s="3" t="n"/>
      <c r="C412" s="3" t="n"/>
      <c r="D412" s="3" t="n"/>
      <c r="E412" s="3" t="n"/>
      <c r="F412" s="3" t="n"/>
      <c r="G412" s="4" t="n"/>
      <c r="H412" s="3" t="n"/>
      <c r="I412" s="3" t="n"/>
      <c r="J412" s="5">
        <f>IF(AND(D412="Venta",I412="Página"),1,0)</f>
        <v/>
      </c>
    </row>
    <row r="413">
      <c r="A413" s="3" t="n"/>
      <c r="B413" s="3" t="n"/>
      <c r="C413" s="3" t="n"/>
      <c r="D413" s="3" t="n"/>
      <c r="E413" s="3" t="n"/>
      <c r="F413" s="3" t="n"/>
      <c r="G413" s="4" t="n"/>
      <c r="H413" s="3" t="n"/>
      <c r="I413" s="3" t="n"/>
      <c r="J413" s="5">
        <f>IF(AND(D413="Venta",I413="Página"),1,0)</f>
        <v/>
      </c>
    </row>
    <row r="414">
      <c r="A414" s="3" t="n"/>
      <c r="B414" s="3" t="n"/>
      <c r="C414" s="3" t="n"/>
      <c r="D414" s="3" t="n"/>
      <c r="E414" s="3" t="n"/>
      <c r="F414" s="3" t="n"/>
      <c r="G414" s="4" t="n"/>
      <c r="H414" s="3" t="n"/>
      <c r="I414" s="3" t="n"/>
      <c r="J414" s="5">
        <f>IF(AND(D414="Venta",I414="Página"),1,0)</f>
        <v/>
      </c>
    </row>
    <row r="415">
      <c r="A415" s="3" t="n"/>
      <c r="B415" s="3" t="n"/>
      <c r="C415" s="3" t="n"/>
      <c r="D415" s="3" t="n"/>
      <c r="E415" s="3" t="n"/>
      <c r="F415" s="3" t="n"/>
      <c r="G415" s="4" t="n"/>
      <c r="H415" s="3" t="n"/>
      <c r="I415" s="3" t="n"/>
      <c r="J415" s="5">
        <f>IF(AND(D415="Venta",I415="Página"),1,0)</f>
        <v/>
      </c>
    </row>
    <row r="416">
      <c r="A416" s="3" t="n"/>
      <c r="B416" s="3" t="n"/>
      <c r="C416" s="3" t="n"/>
      <c r="D416" s="3" t="n"/>
      <c r="E416" s="3" t="n"/>
      <c r="F416" s="3" t="n"/>
      <c r="G416" s="4" t="n"/>
      <c r="H416" s="3" t="n"/>
      <c r="I416" s="3" t="n"/>
      <c r="J416" s="5">
        <f>IF(AND(D416="Venta",I416="Página"),1,0)</f>
        <v/>
      </c>
    </row>
    <row r="417">
      <c r="A417" s="3" t="n"/>
      <c r="B417" s="3" t="n"/>
      <c r="C417" s="3" t="n"/>
      <c r="D417" s="3" t="n"/>
      <c r="E417" s="3" t="n"/>
      <c r="F417" s="3" t="n"/>
      <c r="G417" s="4" t="n"/>
      <c r="H417" s="3" t="n"/>
      <c r="I417" s="3" t="n"/>
      <c r="J417" s="5">
        <f>IF(AND(D417="Venta",I417="Página"),1,0)</f>
        <v/>
      </c>
    </row>
    <row r="418">
      <c r="A418" s="3" t="n"/>
      <c r="B418" s="3" t="n"/>
      <c r="C418" s="3" t="n"/>
      <c r="D418" s="3" t="n"/>
      <c r="E418" s="3" t="n"/>
      <c r="F418" s="3" t="n"/>
      <c r="G418" s="4" t="n"/>
      <c r="H418" s="3" t="n"/>
      <c r="I418" s="3" t="n"/>
      <c r="J418" s="5">
        <f>IF(AND(D418="Venta",I418="Página"),1,0)</f>
        <v/>
      </c>
    </row>
    <row r="419">
      <c r="A419" s="3" t="n"/>
      <c r="B419" s="3" t="n"/>
      <c r="C419" s="3" t="n"/>
      <c r="D419" s="3" t="n"/>
      <c r="E419" s="3" t="n"/>
      <c r="F419" s="3" t="n"/>
      <c r="G419" s="4" t="n"/>
      <c r="H419" s="3" t="n"/>
      <c r="I419" s="3" t="n"/>
      <c r="J419" s="5">
        <f>IF(AND(D419="Venta",I419="Página"),1,0)</f>
        <v/>
      </c>
    </row>
    <row r="420">
      <c r="A420" s="3" t="n"/>
      <c r="B420" s="3" t="n"/>
      <c r="C420" s="3" t="n"/>
      <c r="D420" s="3" t="n"/>
      <c r="E420" s="3" t="n"/>
      <c r="F420" s="3" t="n"/>
      <c r="G420" s="4" t="n"/>
      <c r="H420" s="3" t="n"/>
      <c r="I420" s="3" t="n"/>
      <c r="J420" s="5">
        <f>IF(AND(D420="Venta",I420="Página"),1,0)</f>
        <v/>
      </c>
    </row>
    <row r="421">
      <c r="A421" s="3" t="n"/>
      <c r="B421" s="3" t="n"/>
      <c r="C421" s="3" t="n"/>
      <c r="D421" s="3" t="n"/>
      <c r="E421" s="3" t="n"/>
      <c r="F421" s="3" t="n"/>
      <c r="G421" s="4" t="n"/>
      <c r="H421" s="3" t="n"/>
      <c r="I421" s="3" t="n"/>
      <c r="J421" s="5">
        <f>IF(AND(D421="Venta",I421="Página"),1,0)</f>
        <v/>
      </c>
    </row>
    <row r="422">
      <c r="A422" s="3" t="n"/>
      <c r="B422" s="3" t="n"/>
      <c r="C422" s="3" t="n"/>
      <c r="D422" s="3" t="n"/>
      <c r="E422" s="3" t="n"/>
      <c r="F422" s="3" t="n"/>
      <c r="G422" s="4" t="n"/>
      <c r="H422" s="3" t="n"/>
      <c r="I422" s="3" t="n"/>
      <c r="J422" s="5">
        <f>IF(AND(D422="Venta",I422="Página"),1,0)</f>
        <v/>
      </c>
    </row>
    <row r="423">
      <c r="A423" s="3" t="n"/>
      <c r="B423" s="3" t="n"/>
      <c r="C423" s="3" t="n"/>
      <c r="D423" s="3" t="n"/>
      <c r="E423" s="3" t="n"/>
      <c r="F423" s="3" t="n"/>
      <c r="G423" s="4" t="n"/>
      <c r="H423" s="3" t="n"/>
      <c r="I423" s="3" t="n"/>
      <c r="J423" s="5">
        <f>IF(AND(D423="Venta",I423="Página"),1,0)</f>
        <v/>
      </c>
    </row>
    <row r="424">
      <c r="A424" s="3" t="n"/>
      <c r="B424" s="3" t="n"/>
      <c r="C424" s="3" t="n"/>
      <c r="D424" s="3" t="n"/>
      <c r="E424" s="3" t="n"/>
      <c r="F424" s="3" t="n"/>
      <c r="G424" s="4" t="n"/>
      <c r="H424" s="3" t="n"/>
      <c r="I424" s="3" t="n"/>
      <c r="J424" s="5">
        <f>IF(AND(D424="Venta",I424="Página"),1,0)</f>
        <v/>
      </c>
    </row>
    <row r="425">
      <c r="A425" s="3" t="n"/>
      <c r="B425" s="3" t="n"/>
      <c r="C425" s="3" t="n"/>
      <c r="D425" s="3" t="n"/>
      <c r="E425" s="3" t="n"/>
      <c r="F425" s="3" t="n"/>
      <c r="G425" s="4" t="n"/>
      <c r="H425" s="3" t="n"/>
      <c r="I425" s="3" t="n"/>
      <c r="J425" s="5">
        <f>IF(AND(D425="Venta",I425="Página"),1,0)</f>
        <v/>
      </c>
    </row>
    <row r="426">
      <c r="A426" s="3" t="n"/>
      <c r="B426" s="3" t="n"/>
      <c r="C426" s="3" t="n"/>
      <c r="D426" s="3" t="n"/>
      <c r="E426" s="3" t="n"/>
      <c r="F426" s="3" t="n"/>
      <c r="G426" s="4" t="n"/>
      <c r="H426" s="3" t="n"/>
      <c r="I426" s="3" t="n"/>
      <c r="J426" s="5">
        <f>IF(AND(D426="Venta",I426="Página"),1,0)</f>
        <v/>
      </c>
    </row>
    <row r="427">
      <c r="A427" s="3" t="n"/>
      <c r="B427" s="3" t="n"/>
      <c r="C427" s="3" t="n"/>
      <c r="D427" s="3" t="n"/>
      <c r="E427" s="3" t="n"/>
      <c r="F427" s="3" t="n"/>
      <c r="G427" s="4" t="n"/>
      <c r="H427" s="3" t="n"/>
      <c r="I427" s="3" t="n"/>
      <c r="J427" s="5">
        <f>IF(AND(D427="Venta",I427="Página"),1,0)</f>
        <v/>
      </c>
    </row>
    <row r="428">
      <c r="A428" s="3" t="n"/>
      <c r="B428" s="3" t="n"/>
      <c r="C428" s="3" t="n"/>
      <c r="D428" s="3" t="n"/>
      <c r="E428" s="3" t="n"/>
      <c r="F428" s="3" t="n"/>
      <c r="G428" s="4" t="n"/>
      <c r="H428" s="3" t="n"/>
      <c r="I428" s="3" t="n"/>
      <c r="J428" s="5">
        <f>IF(AND(D428="Venta",I428="Página"),1,0)</f>
        <v/>
      </c>
    </row>
    <row r="429">
      <c r="A429" s="3" t="n"/>
      <c r="B429" s="3" t="n"/>
      <c r="C429" s="3" t="n"/>
      <c r="D429" s="3" t="n"/>
      <c r="E429" s="3" t="n"/>
      <c r="F429" s="3" t="n"/>
      <c r="G429" s="4" t="n"/>
      <c r="H429" s="3" t="n"/>
      <c r="I429" s="3" t="n"/>
      <c r="J429" s="5">
        <f>IF(AND(D429="Venta",I429="Página"),1,0)</f>
        <v/>
      </c>
    </row>
    <row r="430">
      <c r="A430" s="3" t="n"/>
      <c r="B430" s="3" t="n"/>
      <c r="C430" s="3" t="n"/>
      <c r="D430" s="3" t="n"/>
      <c r="E430" s="3" t="n"/>
      <c r="F430" s="3" t="n"/>
      <c r="G430" s="4" t="n"/>
      <c r="H430" s="3" t="n"/>
      <c r="I430" s="3" t="n"/>
      <c r="J430" s="5">
        <f>IF(AND(D430="Venta",I430="Página"),1,0)</f>
        <v/>
      </c>
    </row>
    <row r="431">
      <c r="A431" s="3" t="n"/>
      <c r="B431" s="3" t="n"/>
      <c r="C431" s="3" t="n"/>
      <c r="D431" s="3" t="n"/>
      <c r="E431" s="3" t="n"/>
      <c r="F431" s="3" t="n"/>
      <c r="G431" s="4" t="n"/>
      <c r="H431" s="3" t="n"/>
      <c r="I431" s="3" t="n"/>
      <c r="J431" s="5">
        <f>IF(AND(D431="Venta",I431="Página"),1,0)</f>
        <v/>
      </c>
    </row>
    <row r="432">
      <c r="A432" s="3" t="n"/>
      <c r="B432" s="3" t="n"/>
      <c r="C432" s="3" t="n"/>
      <c r="D432" s="3" t="n"/>
      <c r="E432" s="3" t="n"/>
      <c r="F432" s="3" t="n"/>
      <c r="G432" s="4" t="n"/>
      <c r="H432" s="3" t="n"/>
      <c r="I432" s="3" t="n"/>
      <c r="J432" s="5">
        <f>IF(AND(D432="Venta",I432="Página"),1,0)</f>
        <v/>
      </c>
    </row>
    <row r="433">
      <c r="A433" s="3" t="n"/>
      <c r="B433" s="3" t="n"/>
      <c r="C433" s="3" t="n"/>
      <c r="D433" s="3" t="n"/>
      <c r="E433" s="3" t="n"/>
      <c r="F433" s="3" t="n"/>
      <c r="G433" s="4" t="n"/>
      <c r="H433" s="3" t="n"/>
      <c r="I433" s="3" t="n"/>
      <c r="J433" s="5">
        <f>IF(AND(D433="Venta",I433="Página"),1,0)</f>
        <v/>
      </c>
    </row>
    <row r="434">
      <c r="A434" s="3" t="n"/>
      <c r="B434" s="3" t="n"/>
      <c r="C434" s="3" t="n"/>
      <c r="D434" s="3" t="n"/>
      <c r="E434" s="3" t="n"/>
      <c r="F434" s="3" t="n"/>
      <c r="G434" s="4" t="n"/>
      <c r="H434" s="3" t="n"/>
      <c r="I434" s="3" t="n"/>
      <c r="J434" s="5">
        <f>IF(AND(D434="Venta",I434="Página"),1,0)</f>
        <v/>
      </c>
    </row>
    <row r="435">
      <c r="A435" s="3" t="n"/>
      <c r="B435" s="3" t="n"/>
      <c r="C435" s="3" t="n"/>
      <c r="D435" s="3" t="n"/>
      <c r="E435" s="3" t="n"/>
      <c r="F435" s="3" t="n"/>
      <c r="G435" s="4" t="n"/>
      <c r="H435" s="3" t="n"/>
      <c r="I435" s="3" t="n"/>
      <c r="J435" s="5">
        <f>IF(AND(D435="Venta",I435="Página"),1,0)</f>
        <v/>
      </c>
    </row>
    <row r="436">
      <c r="A436" s="3" t="n"/>
      <c r="B436" s="3" t="n"/>
      <c r="C436" s="3" t="n"/>
      <c r="D436" s="3" t="n"/>
      <c r="E436" s="3" t="n"/>
      <c r="F436" s="3" t="n"/>
      <c r="G436" s="4" t="n"/>
      <c r="H436" s="3" t="n"/>
      <c r="I436" s="3" t="n"/>
      <c r="J436" s="5">
        <f>IF(AND(D436="Venta",I436="Página"),1,0)</f>
        <v/>
      </c>
    </row>
    <row r="437">
      <c r="A437" s="3" t="n"/>
      <c r="B437" s="3" t="n"/>
      <c r="C437" s="3" t="n"/>
      <c r="D437" s="3" t="n"/>
      <c r="E437" s="3" t="n"/>
      <c r="F437" s="3" t="n"/>
      <c r="G437" s="4" t="n"/>
      <c r="H437" s="3" t="n"/>
      <c r="I437" s="3" t="n"/>
      <c r="J437" s="5">
        <f>IF(AND(D437="Venta",I437="Página"),1,0)</f>
        <v/>
      </c>
    </row>
    <row r="438">
      <c r="A438" s="3" t="n"/>
      <c r="B438" s="3" t="n"/>
      <c r="C438" s="3" t="n"/>
      <c r="D438" s="3" t="n"/>
      <c r="E438" s="3" t="n"/>
      <c r="F438" s="3" t="n"/>
      <c r="G438" s="4" t="n"/>
      <c r="H438" s="3" t="n"/>
      <c r="I438" s="3" t="n"/>
      <c r="J438" s="5">
        <f>IF(AND(D438="Venta",I438="Página"),1,0)</f>
        <v/>
      </c>
    </row>
    <row r="439">
      <c r="A439" s="3" t="n"/>
      <c r="B439" s="3" t="n"/>
      <c r="C439" s="3" t="n"/>
      <c r="D439" s="3" t="n"/>
      <c r="E439" s="3" t="n"/>
      <c r="F439" s="3" t="n"/>
      <c r="G439" s="4" t="n"/>
      <c r="H439" s="3" t="n"/>
      <c r="I439" s="3" t="n"/>
      <c r="J439" s="5">
        <f>IF(AND(D439="Venta",I439="Página"),1,0)</f>
        <v/>
      </c>
    </row>
    <row r="440">
      <c r="A440" s="3" t="n"/>
      <c r="B440" s="3" t="n"/>
      <c r="C440" s="3" t="n"/>
      <c r="D440" s="3" t="n"/>
      <c r="E440" s="3" t="n"/>
      <c r="F440" s="3" t="n"/>
      <c r="G440" s="4" t="n"/>
      <c r="H440" s="3" t="n"/>
      <c r="I440" s="3" t="n"/>
      <c r="J440" s="5">
        <f>IF(AND(D440="Venta",I440="Página"),1,0)</f>
        <v/>
      </c>
    </row>
    <row r="441">
      <c r="A441" s="3" t="n"/>
      <c r="B441" s="3" t="n"/>
      <c r="C441" s="3" t="n"/>
      <c r="D441" s="3" t="n"/>
      <c r="E441" s="3" t="n"/>
      <c r="F441" s="3" t="n"/>
      <c r="G441" s="4" t="n"/>
      <c r="H441" s="3" t="n"/>
      <c r="I441" s="3" t="n"/>
      <c r="J441" s="5">
        <f>IF(AND(D441="Venta",I441="Página"),1,0)</f>
        <v/>
      </c>
    </row>
    <row r="442">
      <c r="A442" s="3" t="n"/>
      <c r="B442" s="3" t="n"/>
      <c r="C442" s="3" t="n"/>
      <c r="D442" s="3" t="n"/>
      <c r="E442" s="3" t="n"/>
      <c r="F442" s="3" t="n"/>
      <c r="G442" s="4" t="n"/>
      <c r="H442" s="3" t="n"/>
      <c r="I442" s="3" t="n"/>
      <c r="J442" s="5">
        <f>IF(AND(D442="Venta",I442="Página"),1,0)</f>
        <v/>
      </c>
    </row>
    <row r="443">
      <c r="A443" s="3" t="n"/>
      <c r="B443" s="3" t="n"/>
      <c r="C443" s="3" t="n"/>
      <c r="D443" s="3" t="n"/>
      <c r="E443" s="3" t="n"/>
      <c r="F443" s="3" t="n"/>
      <c r="G443" s="4" t="n"/>
      <c r="H443" s="3" t="n"/>
      <c r="I443" s="3" t="n"/>
      <c r="J443" s="5">
        <f>IF(AND(D443="Venta",I443="Página"),1,0)</f>
        <v/>
      </c>
    </row>
    <row r="444">
      <c r="A444" s="3" t="n"/>
      <c r="B444" s="3" t="n"/>
      <c r="C444" s="3" t="n"/>
      <c r="D444" s="3" t="n"/>
      <c r="E444" s="3" t="n"/>
      <c r="F444" s="3" t="n"/>
      <c r="G444" s="4" t="n"/>
      <c r="H444" s="3" t="n"/>
      <c r="I444" s="3" t="n"/>
      <c r="J444" s="5">
        <f>IF(AND(D444="Venta",I444="Página"),1,0)</f>
        <v/>
      </c>
    </row>
    <row r="445">
      <c r="A445" s="3" t="n"/>
      <c r="B445" s="3" t="n"/>
      <c r="C445" s="3" t="n"/>
      <c r="D445" s="3" t="n"/>
      <c r="E445" s="3" t="n"/>
      <c r="F445" s="3" t="n"/>
      <c r="G445" s="4" t="n"/>
      <c r="H445" s="3" t="n"/>
      <c r="I445" s="3" t="n"/>
      <c r="J445" s="5">
        <f>IF(AND(D445="Venta",I445="Página"),1,0)</f>
        <v/>
      </c>
    </row>
    <row r="446">
      <c r="A446" s="3" t="n"/>
      <c r="B446" s="3" t="n"/>
      <c r="C446" s="3" t="n"/>
      <c r="D446" s="3" t="n"/>
      <c r="E446" s="3" t="n"/>
      <c r="F446" s="3" t="n"/>
      <c r="G446" s="4" t="n"/>
      <c r="H446" s="3" t="n"/>
      <c r="I446" s="3" t="n"/>
      <c r="J446" s="5">
        <f>IF(AND(D446="Venta",I446="Página"),1,0)</f>
        <v/>
      </c>
    </row>
    <row r="447">
      <c r="A447" s="3" t="n"/>
      <c r="B447" s="3" t="n"/>
      <c r="C447" s="3" t="n"/>
      <c r="D447" s="3" t="n"/>
      <c r="E447" s="3" t="n"/>
      <c r="F447" s="3" t="n"/>
      <c r="G447" s="4" t="n"/>
      <c r="H447" s="3" t="n"/>
      <c r="I447" s="3" t="n"/>
      <c r="J447" s="5">
        <f>IF(AND(D447="Venta",I447="Página"),1,0)</f>
        <v/>
      </c>
    </row>
    <row r="448">
      <c r="A448" s="3" t="n"/>
      <c r="B448" s="3" t="n"/>
      <c r="C448" s="3" t="n"/>
      <c r="D448" s="3" t="n"/>
      <c r="E448" s="3" t="n"/>
      <c r="F448" s="3" t="n"/>
      <c r="G448" s="4" t="n"/>
      <c r="H448" s="3" t="n"/>
      <c r="I448" s="3" t="n"/>
      <c r="J448" s="5">
        <f>IF(AND(D448="Venta",I448="Página"),1,0)</f>
        <v/>
      </c>
    </row>
    <row r="449">
      <c r="A449" s="3" t="n"/>
      <c r="B449" s="3" t="n"/>
      <c r="C449" s="3" t="n"/>
      <c r="D449" s="3" t="n"/>
      <c r="E449" s="3" t="n"/>
      <c r="F449" s="3" t="n"/>
      <c r="G449" s="4" t="n"/>
      <c r="H449" s="3" t="n"/>
      <c r="I449" s="3" t="n"/>
      <c r="J449" s="5">
        <f>IF(AND(D449="Venta",I449="Página"),1,0)</f>
        <v/>
      </c>
    </row>
    <row r="450">
      <c r="A450" s="3" t="n"/>
      <c r="B450" s="3" t="n"/>
      <c r="C450" s="3" t="n"/>
      <c r="D450" s="3" t="n"/>
      <c r="E450" s="3" t="n"/>
      <c r="F450" s="3" t="n"/>
      <c r="G450" s="4" t="n"/>
      <c r="H450" s="3" t="n"/>
      <c r="I450" s="3" t="n"/>
      <c r="J450" s="5">
        <f>IF(AND(D450="Venta",I450="Página"),1,0)</f>
        <v/>
      </c>
    </row>
    <row r="451">
      <c r="A451" s="3" t="n"/>
      <c r="B451" s="3" t="n"/>
      <c r="C451" s="3" t="n"/>
      <c r="D451" s="3" t="n"/>
      <c r="E451" s="3" t="n"/>
      <c r="F451" s="3" t="n"/>
      <c r="G451" s="4" t="n"/>
      <c r="H451" s="3" t="n"/>
      <c r="I451" s="3" t="n"/>
      <c r="J451" s="5">
        <f>IF(AND(D451="Venta",I451="Página"),1,0)</f>
        <v/>
      </c>
    </row>
    <row r="452">
      <c r="A452" s="3" t="n"/>
      <c r="B452" s="3" t="n"/>
      <c r="C452" s="3" t="n"/>
      <c r="D452" s="3" t="n"/>
      <c r="E452" s="3" t="n"/>
      <c r="F452" s="3" t="n"/>
      <c r="G452" s="4" t="n"/>
      <c r="H452" s="3" t="n"/>
      <c r="I452" s="3" t="n"/>
      <c r="J452" s="5">
        <f>IF(AND(D452="Venta",I452="Página"),1,0)</f>
        <v/>
      </c>
    </row>
    <row r="453">
      <c r="A453" s="3" t="n"/>
      <c r="B453" s="3" t="n"/>
      <c r="C453" s="3" t="n"/>
      <c r="D453" s="3" t="n"/>
      <c r="E453" s="3" t="n"/>
      <c r="F453" s="3" t="n"/>
      <c r="G453" s="4" t="n"/>
      <c r="H453" s="3" t="n"/>
      <c r="I453" s="3" t="n"/>
      <c r="J453" s="5">
        <f>IF(AND(D453="Venta",I453="Página"),1,0)</f>
        <v/>
      </c>
    </row>
    <row r="454">
      <c r="A454" s="3" t="n"/>
      <c r="B454" s="3" t="n"/>
      <c r="C454" s="3" t="n"/>
      <c r="D454" s="3" t="n"/>
      <c r="E454" s="3" t="n"/>
      <c r="F454" s="3" t="n"/>
      <c r="G454" s="4" t="n"/>
      <c r="H454" s="3" t="n"/>
      <c r="I454" s="3" t="n"/>
      <c r="J454" s="5">
        <f>IF(AND(D454="Venta",I454="Página"),1,0)</f>
        <v/>
      </c>
    </row>
    <row r="455">
      <c r="A455" s="3" t="n"/>
      <c r="B455" s="3" t="n"/>
      <c r="C455" s="3" t="n"/>
      <c r="D455" s="3" t="n"/>
      <c r="E455" s="3" t="n"/>
      <c r="F455" s="3" t="n"/>
      <c r="G455" s="4" t="n"/>
      <c r="H455" s="3" t="n"/>
      <c r="I455" s="3" t="n"/>
      <c r="J455" s="5">
        <f>IF(AND(D455="Venta",I455="Página"),1,0)</f>
        <v/>
      </c>
    </row>
    <row r="456">
      <c r="A456" s="3" t="n"/>
      <c r="B456" s="3" t="n"/>
      <c r="C456" s="3" t="n"/>
      <c r="D456" s="3" t="n"/>
      <c r="E456" s="3" t="n"/>
      <c r="F456" s="3" t="n"/>
      <c r="G456" s="4" t="n"/>
      <c r="H456" s="3" t="n"/>
      <c r="I456" s="3" t="n"/>
      <c r="J456" s="5">
        <f>IF(AND(D456="Venta",I456="Página"),1,0)</f>
        <v/>
      </c>
    </row>
    <row r="457">
      <c r="A457" s="3" t="n"/>
      <c r="B457" s="3" t="n"/>
      <c r="C457" s="3" t="n"/>
      <c r="D457" s="3" t="n"/>
      <c r="E457" s="3" t="n"/>
      <c r="F457" s="3" t="n"/>
      <c r="G457" s="4" t="n"/>
      <c r="H457" s="3" t="n"/>
      <c r="I457" s="3" t="n"/>
      <c r="J457" s="5">
        <f>IF(AND(D457="Venta",I457="Página"),1,0)</f>
        <v/>
      </c>
    </row>
    <row r="458">
      <c r="A458" s="3" t="n"/>
      <c r="B458" s="3" t="n"/>
      <c r="C458" s="3" t="n"/>
      <c r="D458" s="3" t="n"/>
      <c r="E458" s="3" t="n"/>
      <c r="F458" s="3" t="n"/>
      <c r="G458" s="4" t="n"/>
      <c r="H458" s="3" t="n"/>
      <c r="I458" s="3" t="n"/>
      <c r="J458" s="5">
        <f>IF(AND(D458="Venta",I458="Página"),1,0)</f>
        <v/>
      </c>
    </row>
    <row r="459">
      <c r="A459" s="3" t="n"/>
      <c r="B459" s="3" t="n"/>
      <c r="C459" s="3" t="n"/>
      <c r="D459" s="3" t="n"/>
      <c r="E459" s="3" t="n"/>
      <c r="F459" s="3" t="n"/>
      <c r="G459" s="4" t="n"/>
      <c r="H459" s="3" t="n"/>
      <c r="I459" s="3" t="n"/>
      <c r="J459" s="5">
        <f>IF(AND(D459="Venta",I459="Página"),1,0)</f>
        <v/>
      </c>
    </row>
    <row r="460">
      <c r="A460" s="3" t="n"/>
      <c r="B460" s="3" t="n"/>
      <c r="C460" s="3" t="n"/>
      <c r="D460" s="3" t="n"/>
      <c r="E460" s="3" t="n"/>
      <c r="F460" s="3" t="n"/>
      <c r="G460" s="4" t="n"/>
      <c r="H460" s="3" t="n"/>
      <c r="I460" s="3" t="n"/>
      <c r="J460" s="5">
        <f>IF(AND(D460="Venta",I460="Página"),1,0)</f>
        <v/>
      </c>
    </row>
    <row r="461">
      <c r="A461" s="3" t="n"/>
      <c r="B461" s="3" t="n"/>
      <c r="C461" s="3" t="n"/>
      <c r="D461" s="3" t="n"/>
      <c r="E461" s="3" t="n"/>
      <c r="F461" s="3" t="n"/>
      <c r="G461" s="4" t="n"/>
      <c r="H461" s="3" t="n"/>
      <c r="I461" s="3" t="n"/>
      <c r="J461" s="5">
        <f>IF(AND(D461="Venta",I461="Página"),1,0)</f>
        <v/>
      </c>
    </row>
    <row r="462">
      <c r="A462" s="3" t="n"/>
      <c r="B462" s="3" t="n"/>
      <c r="C462" s="3" t="n"/>
      <c r="D462" s="3" t="n"/>
      <c r="E462" s="3" t="n"/>
      <c r="F462" s="3" t="n"/>
      <c r="G462" s="4" t="n"/>
      <c r="H462" s="3" t="n"/>
      <c r="I462" s="3" t="n"/>
      <c r="J462" s="5">
        <f>IF(AND(D462="Venta",I462="Página"),1,0)</f>
        <v/>
      </c>
    </row>
    <row r="463">
      <c r="A463" s="3" t="n"/>
      <c r="B463" s="3" t="n"/>
      <c r="C463" s="3" t="n"/>
      <c r="D463" s="3" t="n"/>
      <c r="E463" s="3" t="n"/>
      <c r="F463" s="3" t="n"/>
      <c r="G463" s="4" t="n"/>
      <c r="H463" s="3" t="n"/>
      <c r="I463" s="3" t="n"/>
      <c r="J463" s="5">
        <f>IF(AND(D463="Venta",I463="Página"),1,0)</f>
        <v/>
      </c>
    </row>
    <row r="464">
      <c r="A464" s="3" t="n"/>
      <c r="B464" s="3" t="n"/>
      <c r="C464" s="3" t="n"/>
      <c r="D464" s="3" t="n"/>
      <c r="E464" s="3" t="n"/>
      <c r="F464" s="3" t="n"/>
      <c r="G464" s="4" t="n"/>
      <c r="H464" s="3" t="n"/>
      <c r="I464" s="3" t="n"/>
      <c r="J464" s="5">
        <f>IF(AND(D464="Venta",I464="Página"),1,0)</f>
        <v/>
      </c>
    </row>
    <row r="465">
      <c r="A465" s="3" t="n"/>
      <c r="B465" s="3" t="n"/>
      <c r="C465" s="3" t="n"/>
      <c r="D465" s="3" t="n"/>
      <c r="E465" s="3" t="n"/>
      <c r="F465" s="3" t="n"/>
      <c r="G465" s="4" t="n"/>
      <c r="H465" s="3" t="n"/>
      <c r="I465" s="3" t="n"/>
      <c r="J465" s="5">
        <f>IF(AND(D465="Venta",I465="Página"),1,0)</f>
        <v/>
      </c>
    </row>
    <row r="466">
      <c r="A466" s="3" t="n"/>
      <c r="B466" s="3" t="n"/>
      <c r="C466" s="3" t="n"/>
      <c r="D466" s="3" t="n"/>
      <c r="E466" s="3" t="n"/>
      <c r="F466" s="3" t="n"/>
      <c r="G466" s="4" t="n"/>
      <c r="H466" s="3" t="n"/>
      <c r="I466" s="3" t="n"/>
      <c r="J466" s="5">
        <f>IF(AND(D466="Venta",I466="Página"),1,0)</f>
        <v/>
      </c>
    </row>
    <row r="467">
      <c r="A467" s="3" t="n"/>
      <c r="B467" s="3" t="n"/>
      <c r="C467" s="3" t="n"/>
      <c r="D467" s="3" t="n"/>
      <c r="E467" s="3" t="n"/>
      <c r="F467" s="3" t="n"/>
      <c r="G467" s="4" t="n"/>
      <c r="H467" s="3" t="n"/>
      <c r="I467" s="3" t="n"/>
      <c r="J467" s="5">
        <f>IF(AND(D467="Venta",I467="Página"),1,0)</f>
        <v/>
      </c>
    </row>
    <row r="468">
      <c r="A468" s="3" t="n"/>
      <c r="B468" s="3" t="n"/>
      <c r="C468" s="3" t="n"/>
      <c r="D468" s="3" t="n"/>
      <c r="E468" s="3" t="n"/>
      <c r="F468" s="3" t="n"/>
      <c r="G468" s="4" t="n"/>
      <c r="H468" s="3" t="n"/>
      <c r="I468" s="3" t="n"/>
      <c r="J468" s="5">
        <f>IF(AND(D468="Venta",I468="Página"),1,0)</f>
        <v/>
      </c>
    </row>
    <row r="469">
      <c r="A469" s="3" t="n"/>
      <c r="B469" s="3" t="n"/>
      <c r="C469" s="3" t="n"/>
      <c r="D469" s="3" t="n"/>
      <c r="E469" s="3" t="n"/>
      <c r="F469" s="3" t="n"/>
      <c r="G469" s="4" t="n"/>
      <c r="H469" s="3" t="n"/>
      <c r="I469" s="3" t="n"/>
      <c r="J469" s="5">
        <f>IF(AND(D469="Venta",I469="Página"),1,0)</f>
        <v/>
      </c>
    </row>
    <row r="470">
      <c r="A470" s="3" t="n"/>
      <c r="B470" s="3" t="n"/>
      <c r="C470" s="3" t="n"/>
      <c r="D470" s="3" t="n"/>
      <c r="E470" s="3" t="n"/>
      <c r="F470" s="3" t="n"/>
      <c r="G470" s="4" t="n"/>
      <c r="H470" s="3" t="n"/>
      <c r="I470" s="3" t="n"/>
      <c r="J470" s="5">
        <f>IF(AND(D470="Venta",I470="Página"),1,0)</f>
        <v/>
      </c>
    </row>
    <row r="471">
      <c r="A471" s="3" t="n"/>
      <c r="B471" s="3" t="n"/>
      <c r="C471" s="3" t="n"/>
      <c r="D471" s="3" t="n"/>
      <c r="E471" s="3" t="n"/>
      <c r="F471" s="3" t="n"/>
      <c r="G471" s="4" t="n"/>
      <c r="H471" s="3" t="n"/>
      <c r="I471" s="3" t="n"/>
      <c r="J471" s="5">
        <f>IF(AND(D471="Venta",I471="Página"),1,0)</f>
        <v/>
      </c>
    </row>
    <row r="472">
      <c r="A472" s="3" t="n"/>
      <c r="B472" s="3" t="n"/>
      <c r="C472" s="3" t="n"/>
      <c r="D472" s="3" t="n"/>
      <c r="E472" s="3" t="n"/>
      <c r="F472" s="3" t="n"/>
      <c r="G472" s="4" t="n"/>
      <c r="H472" s="3" t="n"/>
      <c r="I472" s="3" t="n"/>
      <c r="J472" s="5">
        <f>IF(AND(D472="Venta",I472="Página"),1,0)</f>
        <v/>
      </c>
    </row>
    <row r="473">
      <c r="A473" s="3" t="n"/>
      <c r="B473" s="3" t="n"/>
      <c r="C473" s="3" t="n"/>
      <c r="D473" s="3" t="n"/>
      <c r="E473" s="3" t="n"/>
      <c r="F473" s="3" t="n"/>
      <c r="G473" s="4" t="n"/>
      <c r="H473" s="3" t="n"/>
      <c r="I473" s="3" t="n"/>
      <c r="J473" s="5">
        <f>IF(AND(D473="Venta",I473="Página"),1,0)</f>
        <v/>
      </c>
    </row>
    <row r="474">
      <c r="A474" s="3" t="n"/>
      <c r="B474" s="3" t="n"/>
      <c r="C474" s="3" t="n"/>
      <c r="D474" s="3" t="n"/>
      <c r="E474" s="3" t="n"/>
      <c r="F474" s="3" t="n"/>
      <c r="G474" s="4" t="n"/>
      <c r="H474" s="3" t="n"/>
      <c r="I474" s="3" t="n"/>
      <c r="J474" s="5">
        <f>IF(AND(D474="Venta",I474="Página"),1,0)</f>
        <v/>
      </c>
    </row>
    <row r="475">
      <c r="A475" s="3" t="n"/>
      <c r="B475" s="3" t="n"/>
      <c r="C475" s="3" t="n"/>
      <c r="D475" s="3" t="n"/>
      <c r="E475" s="3" t="n"/>
      <c r="F475" s="3" t="n"/>
      <c r="G475" s="4" t="n"/>
      <c r="H475" s="3" t="n"/>
      <c r="I475" s="3" t="n"/>
      <c r="J475" s="5">
        <f>IF(AND(D475="Venta",I475="Página"),1,0)</f>
        <v/>
      </c>
    </row>
    <row r="476">
      <c r="A476" s="3" t="n"/>
      <c r="B476" s="3" t="n"/>
      <c r="C476" s="3" t="n"/>
      <c r="D476" s="3" t="n"/>
      <c r="E476" s="3" t="n"/>
      <c r="F476" s="3" t="n"/>
      <c r="G476" s="4" t="n"/>
      <c r="H476" s="3" t="n"/>
      <c r="I476" s="3" t="n"/>
      <c r="J476" s="5">
        <f>IF(AND(D476="Venta",I476="Página"),1,0)</f>
        <v/>
      </c>
    </row>
    <row r="477">
      <c r="A477" s="3" t="n"/>
      <c r="B477" s="3" t="n"/>
      <c r="C477" s="3" t="n"/>
      <c r="D477" s="3" t="n"/>
      <c r="E477" s="3" t="n"/>
      <c r="F477" s="3" t="n"/>
      <c r="G477" s="4" t="n"/>
      <c r="H477" s="3" t="n"/>
      <c r="I477" s="3" t="n"/>
      <c r="J477" s="5">
        <f>IF(AND(D477="Venta",I477="Página"),1,0)</f>
        <v/>
      </c>
    </row>
    <row r="478">
      <c r="A478" s="3" t="n"/>
      <c r="B478" s="3" t="n"/>
      <c r="C478" s="3" t="n"/>
      <c r="D478" s="3" t="n"/>
      <c r="E478" s="3" t="n"/>
      <c r="F478" s="3" t="n"/>
      <c r="G478" s="4" t="n"/>
      <c r="H478" s="3" t="n"/>
      <c r="I478" s="3" t="n"/>
      <c r="J478" s="5">
        <f>IF(AND(D478="Venta",I478="Página"),1,0)</f>
        <v/>
      </c>
    </row>
    <row r="479">
      <c r="A479" s="3" t="n"/>
      <c r="B479" s="3" t="n"/>
      <c r="C479" s="3" t="n"/>
      <c r="D479" s="3" t="n"/>
      <c r="E479" s="3" t="n"/>
      <c r="F479" s="3" t="n"/>
      <c r="G479" s="4" t="n"/>
      <c r="H479" s="3" t="n"/>
      <c r="I479" s="3" t="n"/>
      <c r="J479" s="5">
        <f>IF(AND(D479="Venta",I479="Página"),1,0)</f>
        <v/>
      </c>
    </row>
    <row r="480">
      <c r="A480" s="3" t="n"/>
      <c r="B480" s="3" t="n"/>
      <c r="C480" s="3" t="n"/>
      <c r="D480" s="3" t="n"/>
      <c r="E480" s="3" t="n"/>
      <c r="F480" s="3" t="n"/>
      <c r="G480" s="4" t="n"/>
      <c r="H480" s="3" t="n"/>
      <c r="I480" s="3" t="n"/>
      <c r="J480" s="5">
        <f>IF(AND(D480="Venta",I480="Página"),1,0)</f>
        <v/>
      </c>
    </row>
    <row r="481">
      <c r="A481" s="3" t="n"/>
      <c r="B481" s="3" t="n"/>
      <c r="C481" s="3" t="n"/>
      <c r="D481" s="3" t="n"/>
      <c r="E481" s="3" t="n"/>
      <c r="F481" s="3" t="n"/>
      <c r="G481" s="4" t="n"/>
      <c r="H481" s="3" t="n"/>
      <c r="I481" s="3" t="n"/>
      <c r="J481" s="5">
        <f>IF(AND(D481="Venta",I481="Página"),1,0)</f>
        <v/>
      </c>
    </row>
    <row r="482">
      <c r="A482" s="3" t="n"/>
      <c r="B482" s="3" t="n"/>
      <c r="C482" s="3" t="n"/>
      <c r="D482" s="3" t="n"/>
      <c r="E482" s="3" t="n"/>
      <c r="F482" s="3" t="n"/>
      <c r="G482" s="4" t="n"/>
      <c r="H482" s="3" t="n"/>
      <c r="I482" s="3" t="n"/>
      <c r="J482" s="5">
        <f>IF(AND(D482="Venta",I482="Página"),1,0)</f>
        <v/>
      </c>
    </row>
    <row r="483">
      <c r="A483" s="3" t="n"/>
      <c r="B483" s="3" t="n"/>
      <c r="C483" s="3" t="n"/>
      <c r="D483" s="3" t="n"/>
      <c r="E483" s="3" t="n"/>
      <c r="F483" s="3" t="n"/>
      <c r="G483" s="4" t="n"/>
      <c r="H483" s="3" t="n"/>
      <c r="I483" s="3" t="n"/>
      <c r="J483" s="5">
        <f>IF(AND(D483="Venta",I483="Página"),1,0)</f>
        <v/>
      </c>
    </row>
    <row r="484">
      <c r="A484" s="3" t="n"/>
      <c r="B484" s="3" t="n"/>
      <c r="C484" s="3" t="n"/>
      <c r="D484" s="3" t="n"/>
      <c r="E484" s="3" t="n"/>
      <c r="F484" s="3" t="n"/>
      <c r="G484" s="4" t="n"/>
      <c r="H484" s="3" t="n"/>
      <c r="I484" s="3" t="n"/>
      <c r="J484" s="5">
        <f>IF(AND(D484="Venta",I484="Página"),1,0)</f>
        <v/>
      </c>
    </row>
    <row r="485">
      <c r="A485" s="3" t="n"/>
      <c r="B485" s="3" t="n"/>
      <c r="C485" s="3" t="n"/>
      <c r="D485" s="3" t="n"/>
      <c r="E485" s="3" t="n"/>
      <c r="F485" s="3" t="n"/>
      <c r="G485" s="4" t="n"/>
      <c r="H485" s="3" t="n"/>
      <c r="I485" s="3" t="n"/>
      <c r="J485" s="5">
        <f>IF(AND(D485="Venta",I485="Página"),1,0)</f>
        <v/>
      </c>
    </row>
    <row r="486">
      <c r="A486" s="3" t="n"/>
      <c r="B486" s="3" t="n"/>
      <c r="C486" s="3" t="n"/>
      <c r="D486" s="3" t="n"/>
      <c r="E486" s="3" t="n"/>
      <c r="F486" s="3" t="n"/>
      <c r="G486" s="4" t="n"/>
      <c r="H486" s="3" t="n"/>
      <c r="I486" s="3" t="n"/>
      <c r="J486" s="5">
        <f>IF(AND(D486="Venta",I486="Página"),1,0)</f>
        <v/>
      </c>
    </row>
    <row r="487">
      <c r="A487" s="3" t="n"/>
      <c r="B487" s="3" t="n"/>
      <c r="C487" s="3" t="n"/>
      <c r="D487" s="3" t="n"/>
      <c r="E487" s="3" t="n"/>
      <c r="F487" s="3" t="n"/>
      <c r="G487" s="4" t="n"/>
      <c r="H487" s="3" t="n"/>
      <c r="I487" s="3" t="n"/>
      <c r="J487" s="5">
        <f>IF(AND(D487="Venta",I487="Página"),1,0)</f>
        <v/>
      </c>
    </row>
    <row r="488">
      <c r="A488" s="3" t="n"/>
      <c r="B488" s="3" t="n"/>
      <c r="C488" s="3" t="n"/>
      <c r="D488" s="3" t="n"/>
      <c r="E488" s="3" t="n"/>
      <c r="F488" s="3" t="n"/>
      <c r="G488" s="4" t="n"/>
      <c r="H488" s="3" t="n"/>
      <c r="I488" s="3" t="n"/>
      <c r="J488" s="5">
        <f>IF(AND(D488="Venta",I488="Página"),1,0)</f>
        <v/>
      </c>
    </row>
    <row r="489">
      <c r="A489" s="3" t="n"/>
      <c r="B489" s="3" t="n"/>
      <c r="C489" s="3" t="n"/>
      <c r="D489" s="3" t="n"/>
      <c r="E489" s="3" t="n"/>
      <c r="F489" s="3" t="n"/>
      <c r="G489" s="4" t="n"/>
      <c r="H489" s="3" t="n"/>
      <c r="I489" s="3" t="n"/>
      <c r="J489" s="5">
        <f>IF(AND(D489="Venta",I489="Página"),1,0)</f>
        <v/>
      </c>
    </row>
    <row r="490">
      <c r="A490" s="3" t="n"/>
      <c r="B490" s="3" t="n"/>
      <c r="C490" s="3" t="n"/>
      <c r="D490" s="3" t="n"/>
      <c r="E490" s="3" t="n"/>
      <c r="F490" s="3" t="n"/>
      <c r="G490" s="4" t="n"/>
      <c r="H490" s="3" t="n"/>
      <c r="I490" s="3" t="n"/>
      <c r="J490" s="5">
        <f>IF(AND(D490="Venta",I490="Página"),1,0)</f>
        <v/>
      </c>
    </row>
    <row r="491">
      <c r="A491" s="3" t="n"/>
      <c r="B491" s="3" t="n"/>
      <c r="C491" s="3" t="n"/>
      <c r="D491" s="3" t="n"/>
      <c r="E491" s="3" t="n"/>
      <c r="F491" s="3" t="n"/>
      <c r="G491" s="4" t="n"/>
      <c r="H491" s="3" t="n"/>
      <c r="I491" s="3" t="n"/>
      <c r="J491" s="5">
        <f>IF(AND(D491="Venta",I491="Página"),1,0)</f>
        <v/>
      </c>
    </row>
    <row r="492">
      <c r="A492" s="3" t="n"/>
      <c r="B492" s="3" t="n"/>
      <c r="C492" s="3" t="n"/>
      <c r="D492" s="3" t="n"/>
      <c r="E492" s="3" t="n"/>
      <c r="F492" s="3" t="n"/>
      <c r="G492" s="4" t="n"/>
      <c r="H492" s="3" t="n"/>
      <c r="I492" s="3" t="n"/>
      <c r="J492" s="5">
        <f>IF(AND(D492="Venta",I492="Página"),1,0)</f>
        <v/>
      </c>
    </row>
    <row r="493">
      <c r="A493" s="3" t="n"/>
      <c r="B493" s="3" t="n"/>
      <c r="C493" s="3" t="n"/>
      <c r="D493" s="3" t="n"/>
      <c r="E493" s="3" t="n"/>
      <c r="F493" s="3" t="n"/>
      <c r="G493" s="4" t="n"/>
      <c r="H493" s="3" t="n"/>
      <c r="I493" s="3" t="n"/>
      <c r="J493" s="5">
        <f>IF(AND(D493="Venta",I493="Página"),1,0)</f>
        <v/>
      </c>
    </row>
    <row r="494">
      <c r="A494" s="3" t="n"/>
      <c r="B494" s="3" t="n"/>
      <c r="C494" s="3" t="n"/>
      <c r="D494" s="3" t="n"/>
      <c r="E494" s="3" t="n"/>
      <c r="F494" s="3" t="n"/>
      <c r="G494" s="4" t="n"/>
      <c r="H494" s="3" t="n"/>
      <c r="I494" s="3" t="n"/>
      <c r="J494" s="5">
        <f>IF(AND(D494="Venta",I494="Página"),1,0)</f>
        <v/>
      </c>
    </row>
    <row r="495">
      <c r="A495" s="3" t="n"/>
      <c r="B495" s="3" t="n"/>
      <c r="C495" s="3" t="n"/>
      <c r="D495" s="3" t="n"/>
      <c r="E495" s="3" t="n"/>
      <c r="F495" s="3" t="n"/>
      <c r="G495" s="4" t="n"/>
      <c r="H495" s="3" t="n"/>
      <c r="I495" s="3" t="n"/>
      <c r="J495" s="5">
        <f>IF(AND(D495="Venta",I495="Página"),1,0)</f>
        <v/>
      </c>
    </row>
    <row r="496">
      <c r="A496" s="3" t="n"/>
      <c r="B496" s="3" t="n"/>
      <c r="C496" s="3" t="n"/>
      <c r="D496" s="3" t="n"/>
      <c r="E496" s="3" t="n"/>
      <c r="F496" s="3" t="n"/>
      <c r="G496" s="4" t="n"/>
      <c r="H496" s="3" t="n"/>
      <c r="I496" s="3" t="n"/>
      <c r="J496" s="5">
        <f>IF(AND(D496="Venta",I496="Página"),1,0)</f>
        <v/>
      </c>
    </row>
    <row r="497">
      <c r="A497" s="3" t="n"/>
      <c r="B497" s="3" t="n"/>
      <c r="C497" s="3" t="n"/>
      <c r="D497" s="3" t="n"/>
      <c r="E497" s="3" t="n"/>
      <c r="F497" s="3" t="n"/>
      <c r="G497" s="4" t="n"/>
      <c r="H497" s="3" t="n"/>
      <c r="I497" s="3" t="n"/>
      <c r="J497" s="5">
        <f>IF(AND(D497="Venta",I497="Página"),1,0)</f>
        <v/>
      </c>
    </row>
    <row r="498">
      <c r="A498" s="3" t="n"/>
      <c r="B498" s="3" t="n"/>
      <c r="C498" s="3" t="n"/>
      <c r="D498" s="3" t="n"/>
      <c r="E498" s="3" t="n"/>
      <c r="F498" s="3" t="n"/>
      <c r="G498" s="4" t="n"/>
      <c r="H498" s="3" t="n"/>
      <c r="I498" s="3" t="n"/>
      <c r="J498" s="5">
        <f>IF(AND(D498="Venta",I498="Página"),1,0)</f>
        <v/>
      </c>
    </row>
    <row r="499">
      <c r="A499" s="3" t="n"/>
      <c r="B499" s="3" t="n"/>
      <c r="C499" s="3" t="n"/>
      <c r="D499" s="3" t="n"/>
      <c r="E499" s="3" t="n"/>
      <c r="F499" s="3" t="n"/>
      <c r="G499" s="4" t="n"/>
      <c r="H499" s="3" t="n"/>
      <c r="I499" s="3" t="n"/>
      <c r="J499" s="5">
        <f>IF(AND(D499="Venta",I499="Página"),1,0)</f>
        <v/>
      </c>
    </row>
    <row r="500">
      <c r="A500" s="3" t="n"/>
      <c r="B500" s="3" t="n"/>
      <c r="C500" s="3" t="n"/>
      <c r="D500" s="3" t="n"/>
      <c r="E500" s="3" t="n"/>
      <c r="F500" s="3" t="n"/>
      <c r="G500" s="4" t="n"/>
      <c r="H500" s="3" t="n"/>
      <c r="I500" s="3" t="n"/>
      <c r="J500" s="5">
        <f>IF(AND(D500="Venta",I500="Página"),1,0)</f>
        <v/>
      </c>
    </row>
    <row r="501">
      <c r="A501" s="3" t="n"/>
      <c r="B501" s="3" t="n"/>
      <c r="C501" s="3" t="n"/>
      <c r="D501" s="3" t="n"/>
      <c r="E501" s="3" t="n"/>
      <c r="F501" s="3" t="n"/>
      <c r="G501" s="4" t="n"/>
      <c r="H501" s="3" t="n"/>
      <c r="I501" s="3" t="n"/>
      <c r="J501" s="5">
        <f>IF(AND(D501="Venta",I501="Página"),1,0)</f>
        <v/>
      </c>
    </row>
  </sheetData>
  <dataValidations count="3">
    <dataValidation sqref="D2:D501" showDropDown="0" showInputMessage="0" showErrorMessage="0" allowBlank="1" type="list">
      <formula1>"Venta,Canje llavero,Canje cápsula"</formula1>
    </dataValidation>
    <dataValidation sqref="H2:H501" showDropDown="0" showInputMessage="0" showErrorMessage="0" allowBlank="1" type="list">
      <formula1>"Soriana Colosio,Cruz Roja,Domicilio,Envío,Tianguis"</formula1>
    </dataValidation>
    <dataValidation sqref="I2:I501" showDropDown="0" showInputMessage="0" showErrorMessage="0" allowBlank="1" type="list">
      <formula1>"Página,Tianguis"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70" customWidth="1" min="3" max="3"/>
  </cols>
  <sheetData>
    <row r="1">
      <c r="A1" s="6" t="inlineStr">
        <is>
          <t>Configuración de la promoción</t>
        </is>
      </c>
    </row>
    <row r="2">
      <c r="A2" s="7" t="inlineStr">
        <is>
          <t>Sellos para llavero con nombre gratis</t>
        </is>
      </c>
      <c r="B2" s="8" t="n">
        <v>5</v>
      </c>
      <c r="C2" s="9" t="inlineStr">
        <is>
          <t>Número de pedido que gana el llavero con nombre.</t>
        </is>
      </c>
    </row>
    <row r="3">
      <c r="A3" s="7" t="inlineStr">
        <is>
          <t>Sellos para abrir la cápsula</t>
        </is>
      </c>
      <c r="B3" s="8" t="n">
        <v>10</v>
      </c>
      <c r="C3" s="9" t="inlineStr">
        <is>
          <t>Número de pedido que gana la cápsula sorpresa.</t>
        </is>
      </c>
    </row>
    <row r="4">
      <c r="A4" s="7" t="inlineStr">
        <is>
          <t>Piezas para domicilio gratis en Santa Catarina</t>
        </is>
      </c>
      <c r="B4" s="8" t="n">
        <v>5</v>
      </c>
      <c r="C4" s="9" t="inlineStr">
        <is>
          <t>Fuente: política de entregas del sitio (src/data/entregas.json).</t>
        </is>
      </c>
    </row>
    <row r="5">
      <c r="A5" s="7" t="inlineStr">
        <is>
          <t>Envío a otros municipios del área metropolitana ($)</t>
        </is>
      </c>
      <c r="B5" s="8" t="n">
        <v>80</v>
      </c>
      <c r="C5" s="9" t="inlineStr">
        <is>
          <t>Fuente: política de entregas del sitio.</t>
        </is>
      </c>
    </row>
    <row r="8">
      <c r="A8" s="10" t="inlineStr">
        <is>
          <t>Leyenda</t>
        </is>
      </c>
    </row>
    <row r="9">
      <c r="A9" s="7" t="inlineStr">
        <is>
          <t>Celdas amarillas con texto azul: las llenas tú. Todo lo demás se calcula solo.</t>
        </is>
      </c>
    </row>
    <row r="10">
      <c r="A10" s="7" t="inlineStr">
        <is>
          <t>Solo cuentan para sellos los pedidos con Tipo = Venta y Origen = Página (así lo dice la promo en el sitio).</t>
        </is>
      </c>
    </row>
    <row r="11">
      <c r="A11" s="7" t="inlineStr">
        <is>
          <t>Cuando canjeas un premio, registra una fila con Tipo = Canje llavero o Canje cápsula: no suma sello y marca el premio como entregado.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8" customWidth="1" min="3" max="3"/>
    <col width="18" customWidth="1" min="4" max="4"/>
    <col width="18" customWidth="1" min="5" max="5"/>
    <col width="16" customWidth="1" min="6" max="6"/>
    <col width="16" customWidth="1" min="7" max="7"/>
    <col width="32" customWidth="1" min="8" max="8"/>
  </cols>
  <sheetData>
    <row r="1">
      <c r="A1" s="2" t="inlineStr">
        <is>
          <t>WhatsApp</t>
        </is>
      </c>
      <c r="B1" s="2" t="inlineStr">
        <is>
          <t>Nombre</t>
        </is>
      </c>
      <c r="C1" s="2" t="inlineStr">
        <is>
          <t>Sellos</t>
        </is>
      </c>
      <c r="D1" s="2" t="inlineStr">
        <is>
          <t>Faltan para llavero</t>
        </is>
      </c>
      <c r="E1" s="2" t="inlineStr">
        <is>
          <t>Faltan para cápsula</t>
        </is>
      </c>
      <c r="F1" s="2" t="inlineStr">
        <is>
          <t>Llavero canjeado</t>
        </is>
      </c>
      <c r="G1" s="2" t="inlineStr">
        <is>
          <t>Cápsula canjeada</t>
        </is>
      </c>
      <c r="H1" s="2" t="inlineStr">
        <is>
          <t>Estado</t>
        </is>
      </c>
    </row>
    <row r="2">
      <c r="A2" s="11" t="inlineStr">
        <is>
          <t>528112345678</t>
        </is>
      </c>
      <c r="B2" s="5">
        <f>IF(A2="","",IFERROR(INDEX(Pedidos!$C$2:$C$501,MATCH(A2,Pedidos!$B$2:$B$501,0)),""))</f>
        <v/>
      </c>
      <c r="C2" s="5">
        <f>IF(A2="","",SUMIFS(Pedidos!$J$2:$J$501,Pedidos!$B$2:$B$501,A2))</f>
        <v/>
      </c>
      <c r="D2" s="5">
        <f>IF(A2="","",MAX(0,Config!$B$2-C2))</f>
        <v/>
      </c>
      <c r="E2" s="5">
        <f>IF(A2="","",MAX(0,Config!$B$3-C2))</f>
        <v/>
      </c>
      <c r="F2" s="5">
        <f>IF(A2="","",IF(COUNTIFS(Pedidos!$B$2:$B$501,A2,Pedidos!$D$2:$D$501,"Canje llavero")&gt;0,"Sí","No"))</f>
        <v/>
      </c>
      <c r="G2" s="5">
        <f>IF(A2="","",IF(COUNTIFS(Pedidos!$B$2:$B$501,A2,Pedidos!$D$2:$D$501,"Canje cápsula")&gt;0,"Sí","No"))</f>
        <v/>
      </c>
      <c r="H2" s="5">
        <f>IF(A2="","",IF(AND(C2&gt;=Config!$B$3,G2="No"),"¡Le toca abrir la cápsula!",IF(AND(C2&gt;=Config!$B$2,F2="No"),"¡Le toca llavero con nombre!",IF(C2&lt;Config!$B$2,"Faltan "&amp;D2&amp;" para el llavero","Faltan "&amp;E2&amp;" para la cápsula"))))</f>
        <v/>
      </c>
    </row>
    <row r="3">
      <c r="A3" s="11" t="inlineStr">
        <is>
          <t>528187654321</t>
        </is>
      </c>
      <c r="B3" s="5">
        <f>IF(A3="","",IFERROR(INDEX(Pedidos!$C$2:$C$501,MATCH(A3,Pedidos!$B$2:$B$501,0)),""))</f>
        <v/>
      </c>
      <c r="C3" s="5">
        <f>IF(A3="","",SUMIFS(Pedidos!$J$2:$J$501,Pedidos!$B$2:$B$501,A3))</f>
        <v/>
      </c>
      <c r="D3" s="5">
        <f>IF(A3="","",MAX(0,Config!$B$2-C3))</f>
        <v/>
      </c>
      <c r="E3" s="5">
        <f>IF(A3="","",MAX(0,Config!$B$3-C3))</f>
        <v/>
      </c>
      <c r="F3" s="5">
        <f>IF(A3="","",IF(COUNTIFS(Pedidos!$B$2:$B$501,A3,Pedidos!$D$2:$D$501,"Canje llavero")&gt;0,"Sí","No"))</f>
        <v/>
      </c>
      <c r="G3" s="5">
        <f>IF(A3="","",IF(COUNTIFS(Pedidos!$B$2:$B$501,A3,Pedidos!$D$2:$D$501,"Canje cápsula")&gt;0,"Sí","No"))</f>
        <v/>
      </c>
      <c r="H3" s="5">
        <f>IF(A3="","",IF(AND(C3&gt;=Config!$B$3,G3="No"),"¡Le toca abrir la cápsula!",IF(AND(C3&gt;=Config!$B$2,F3="No"),"¡Le toca llavero con nombre!",IF(C3&lt;Config!$B$2,"Faltan "&amp;D3&amp;" para el llavero","Faltan "&amp;E3&amp;" para la cápsula"))))</f>
        <v/>
      </c>
    </row>
    <row r="4">
      <c r="A4" s="11" t="n"/>
      <c r="B4" s="5">
        <f>IF(A4="","",IFERROR(INDEX(Pedidos!$C$2:$C$501,MATCH(A4,Pedidos!$B$2:$B$501,0)),""))</f>
        <v/>
      </c>
      <c r="C4" s="5">
        <f>IF(A4="","",SUMIFS(Pedidos!$J$2:$J$501,Pedidos!$B$2:$B$501,A4))</f>
        <v/>
      </c>
      <c r="D4" s="5">
        <f>IF(A4="","",MAX(0,Config!$B$2-C4))</f>
        <v/>
      </c>
      <c r="E4" s="5">
        <f>IF(A4="","",MAX(0,Config!$B$3-C4))</f>
        <v/>
      </c>
      <c r="F4" s="5">
        <f>IF(A4="","",IF(COUNTIFS(Pedidos!$B$2:$B$501,A4,Pedidos!$D$2:$D$501,"Canje llavero")&gt;0,"Sí","No"))</f>
        <v/>
      </c>
      <c r="G4" s="5">
        <f>IF(A4="","",IF(COUNTIFS(Pedidos!$B$2:$B$501,A4,Pedidos!$D$2:$D$501,"Canje cápsula")&gt;0,"Sí","No"))</f>
        <v/>
      </c>
      <c r="H4" s="5">
        <f>IF(A4="","",IF(AND(C4&gt;=Config!$B$3,G4="No"),"¡Le toca abrir la cápsula!",IF(AND(C4&gt;=Config!$B$2,F4="No"),"¡Le toca llavero con nombre!",IF(C4&lt;Config!$B$2,"Faltan "&amp;D4&amp;" para el llavero","Faltan "&amp;E4&amp;" para la cápsula"))))</f>
        <v/>
      </c>
    </row>
    <row r="5">
      <c r="A5" s="11" t="n"/>
      <c r="B5" s="5">
        <f>IF(A5="","",IFERROR(INDEX(Pedidos!$C$2:$C$501,MATCH(A5,Pedidos!$B$2:$B$501,0)),""))</f>
        <v/>
      </c>
      <c r="C5" s="5">
        <f>IF(A5="","",SUMIFS(Pedidos!$J$2:$J$501,Pedidos!$B$2:$B$501,A5))</f>
        <v/>
      </c>
      <c r="D5" s="5">
        <f>IF(A5="","",MAX(0,Config!$B$2-C5))</f>
        <v/>
      </c>
      <c r="E5" s="5">
        <f>IF(A5="","",MAX(0,Config!$B$3-C5))</f>
        <v/>
      </c>
      <c r="F5" s="5">
        <f>IF(A5="","",IF(COUNTIFS(Pedidos!$B$2:$B$501,A5,Pedidos!$D$2:$D$501,"Canje llavero")&gt;0,"Sí","No"))</f>
        <v/>
      </c>
      <c r="G5" s="5">
        <f>IF(A5="","",IF(COUNTIFS(Pedidos!$B$2:$B$501,A5,Pedidos!$D$2:$D$501,"Canje cápsula")&gt;0,"Sí","No"))</f>
        <v/>
      </c>
      <c r="H5" s="5">
        <f>IF(A5="","",IF(AND(C5&gt;=Config!$B$3,G5="No"),"¡Le toca abrir la cápsula!",IF(AND(C5&gt;=Config!$B$2,F5="No"),"¡Le toca llavero con nombre!",IF(C5&lt;Config!$B$2,"Faltan "&amp;D5&amp;" para el llavero","Faltan "&amp;E5&amp;" para la cápsula"))))</f>
        <v/>
      </c>
    </row>
    <row r="6">
      <c r="A6" s="11" t="n"/>
      <c r="B6" s="5">
        <f>IF(A6="","",IFERROR(INDEX(Pedidos!$C$2:$C$501,MATCH(A6,Pedidos!$B$2:$B$501,0)),""))</f>
        <v/>
      </c>
      <c r="C6" s="5">
        <f>IF(A6="","",SUMIFS(Pedidos!$J$2:$J$501,Pedidos!$B$2:$B$501,A6))</f>
        <v/>
      </c>
      <c r="D6" s="5">
        <f>IF(A6="","",MAX(0,Config!$B$2-C6))</f>
        <v/>
      </c>
      <c r="E6" s="5">
        <f>IF(A6="","",MAX(0,Config!$B$3-C6))</f>
        <v/>
      </c>
      <c r="F6" s="5">
        <f>IF(A6="","",IF(COUNTIFS(Pedidos!$B$2:$B$501,A6,Pedidos!$D$2:$D$501,"Canje llavero")&gt;0,"Sí","No"))</f>
        <v/>
      </c>
      <c r="G6" s="5">
        <f>IF(A6="","",IF(COUNTIFS(Pedidos!$B$2:$B$501,A6,Pedidos!$D$2:$D$501,"Canje cápsula")&gt;0,"Sí","No"))</f>
        <v/>
      </c>
      <c r="H6" s="5">
        <f>IF(A6="","",IF(AND(C6&gt;=Config!$B$3,G6="No"),"¡Le toca abrir la cápsula!",IF(AND(C6&gt;=Config!$B$2,F6="No"),"¡Le toca llavero con nombre!",IF(C6&lt;Config!$B$2,"Faltan "&amp;D6&amp;" para el llavero","Faltan "&amp;E6&amp;" para la cápsula"))))</f>
        <v/>
      </c>
    </row>
    <row r="7">
      <c r="A7" s="11" t="n"/>
      <c r="B7" s="5">
        <f>IF(A7="","",IFERROR(INDEX(Pedidos!$C$2:$C$501,MATCH(A7,Pedidos!$B$2:$B$501,0)),""))</f>
        <v/>
      </c>
      <c r="C7" s="5">
        <f>IF(A7="","",SUMIFS(Pedidos!$J$2:$J$501,Pedidos!$B$2:$B$501,A7))</f>
        <v/>
      </c>
      <c r="D7" s="5">
        <f>IF(A7="","",MAX(0,Config!$B$2-C7))</f>
        <v/>
      </c>
      <c r="E7" s="5">
        <f>IF(A7="","",MAX(0,Config!$B$3-C7))</f>
        <v/>
      </c>
      <c r="F7" s="5">
        <f>IF(A7="","",IF(COUNTIFS(Pedidos!$B$2:$B$501,A7,Pedidos!$D$2:$D$501,"Canje llavero")&gt;0,"Sí","No"))</f>
        <v/>
      </c>
      <c r="G7" s="5">
        <f>IF(A7="","",IF(COUNTIFS(Pedidos!$B$2:$B$501,A7,Pedidos!$D$2:$D$501,"Canje cápsula")&gt;0,"Sí","No"))</f>
        <v/>
      </c>
      <c r="H7" s="5">
        <f>IF(A7="","",IF(AND(C7&gt;=Config!$B$3,G7="No"),"¡Le toca abrir la cápsula!",IF(AND(C7&gt;=Config!$B$2,F7="No"),"¡Le toca llavero con nombre!",IF(C7&lt;Config!$B$2,"Faltan "&amp;D7&amp;" para el llavero","Faltan "&amp;E7&amp;" para la cápsula"))))</f>
        <v/>
      </c>
    </row>
    <row r="8">
      <c r="A8" s="11" t="n"/>
      <c r="B8" s="5">
        <f>IF(A8="","",IFERROR(INDEX(Pedidos!$C$2:$C$501,MATCH(A8,Pedidos!$B$2:$B$501,0)),""))</f>
        <v/>
      </c>
      <c r="C8" s="5">
        <f>IF(A8="","",SUMIFS(Pedidos!$J$2:$J$501,Pedidos!$B$2:$B$501,A8))</f>
        <v/>
      </c>
      <c r="D8" s="5">
        <f>IF(A8="","",MAX(0,Config!$B$2-C8))</f>
        <v/>
      </c>
      <c r="E8" s="5">
        <f>IF(A8="","",MAX(0,Config!$B$3-C8))</f>
        <v/>
      </c>
      <c r="F8" s="5">
        <f>IF(A8="","",IF(COUNTIFS(Pedidos!$B$2:$B$501,A8,Pedidos!$D$2:$D$501,"Canje llavero")&gt;0,"Sí","No"))</f>
        <v/>
      </c>
      <c r="G8" s="5">
        <f>IF(A8="","",IF(COUNTIFS(Pedidos!$B$2:$B$501,A8,Pedidos!$D$2:$D$501,"Canje cápsula")&gt;0,"Sí","No"))</f>
        <v/>
      </c>
      <c r="H8" s="5">
        <f>IF(A8="","",IF(AND(C8&gt;=Config!$B$3,G8="No"),"¡Le toca abrir la cápsula!",IF(AND(C8&gt;=Config!$B$2,F8="No"),"¡Le toca llavero con nombre!",IF(C8&lt;Config!$B$2,"Faltan "&amp;D8&amp;" para el llavero","Faltan "&amp;E8&amp;" para la cápsula"))))</f>
        <v/>
      </c>
    </row>
    <row r="9">
      <c r="A9" s="11" t="n"/>
      <c r="B9" s="5">
        <f>IF(A9="","",IFERROR(INDEX(Pedidos!$C$2:$C$501,MATCH(A9,Pedidos!$B$2:$B$501,0)),""))</f>
        <v/>
      </c>
      <c r="C9" s="5">
        <f>IF(A9="","",SUMIFS(Pedidos!$J$2:$J$501,Pedidos!$B$2:$B$501,A9))</f>
        <v/>
      </c>
      <c r="D9" s="5">
        <f>IF(A9="","",MAX(0,Config!$B$2-C9))</f>
        <v/>
      </c>
      <c r="E9" s="5">
        <f>IF(A9="","",MAX(0,Config!$B$3-C9))</f>
        <v/>
      </c>
      <c r="F9" s="5">
        <f>IF(A9="","",IF(COUNTIFS(Pedidos!$B$2:$B$501,A9,Pedidos!$D$2:$D$501,"Canje llavero")&gt;0,"Sí","No"))</f>
        <v/>
      </c>
      <c r="G9" s="5">
        <f>IF(A9="","",IF(COUNTIFS(Pedidos!$B$2:$B$501,A9,Pedidos!$D$2:$D$501,"Canje cápsula")&gt;0,"Sí","No"))</f>
        <v/>
      </c>
      <c r="H9" s="5">
        <f>IF(A9="","",IF(AND(C9&gt;=Config!$B$3,G9="No"),"¡Le toca abrir la cápsula!",IF(AND(C9&gt;=Config!$B$2,F9="No"),"¡Le toca llavero con nombre!",IF(C9&lt;Config!$B$2,"Faltan "&amp;D9&amp;" para el llavero","Faltan "&amp;E9&amp;" para la cápsula"))))</f>
        <v/>
      </c>
    </row>
    <row r="10">
      <c r="A10" s="11" t="n"/>
      <c r="B10" s="5">
        <f>IF(A10="","",IFERROR(INDEX(Pedidos!$C$2:$C$501,MATCH(A10,Pedidos!$B$2:$B$501,0)),""))</f>
        <v/>
      </c>
      <c r="C10" s="5">
        <f>IF(A10="","",SUMIFS(Pedidos!$J$2:$J$501,Pedidos!$B$2:$B$501,A10))</f>
        <v/>
      </c>
      <c r="D10" s="5">
        <f>IF(A10="","",MAX(0,Config!$B$2-C10))</f>
        <v/>
      </c>
      <c r="E10" s="5">
        <f>IF(A10="","",MAX(0,Config!$B$3-C10))</f>
        <v/>
      </c>
      <c r="F10" s="5">
        <f>IF(A10="","",IF(COUNTIFS(Pedidos!$B$2:$B$501,A10,Pedidos!$D$2:$D$501,"Canje llavero")&gt;0,"Sí","No"))</f>
        <v/>
      </c>
      <c r="G10" s="5">
        <f>IF(A10="","",IF(COUNTIFS(Pedidos!$B$2:$B$501,A10,Pedidos!$D$2:$D$501,"Canje cápsula")&gt;0,"Sí","No"))</f>
        <v/>
      </c>
      <c r="H10" s="5">
        <f>IF(A10="","",IF(AND(C10&gt;=Config!$B$3,G10="No"),"¡Le toca abrir la cápsula!",IF(AND(C10&gt;=Config!$B$2,F10="No"),"¡Le toca llavero con nombre!",IF(C10&lt;Config!$B$2,"Faltan "&amp;D10&amp;" para el llavero","Faltan "&amp;E10&amp;" para la cápsula"))))</f>
        <v/>
      </c>
    </row>
    <row r="11">
      <c r="A11" s="11" t="n"/>
      <c r="B11" s="5">
        <f>IF(A11="","",IFERROR(INDEX(Pedidos!$C$2:$C$501,MATCH(A11,Pedidos!$B$2:$B$501,0)),""))</f>
        <v/>
      </c>
      <c r="C11" s="5">
        <f>IF(A11="","",SUMIFS(Pedidos!$J$2:$J$501,Pedidos!$B$2:$B$501,A11))</f>
        <v/>
      </c>
      <c r="D11" s="5">
        <f>IF(A11="","",MAX(0,Config!$B$2-C11))</f>
        <v/>
      </c>
      <c r="E11" s="5">
        <f>IF(A11="","",MAX(0,Config!$B$3-C11))</f>
        <v/>
      </c>
      <c r="F11" s="5">
        <f>IF(A11="","",IF(COUNTIFS(Pedidos!$B$2:$B$501,A11,Pedidos!$D$2:$D$501,"Canje llavero")&gt;0,"Sí","No"))</f>
        <v/>
      </c>
      <c r="G11" s="5">
        <f>IF(A11="","",IF(COUNTIFS(Pedidos!$B$2:$B$501,A11,Pedidos!$D$2:$D$501,"Canje cápsula")&gt;0,"Sí","No"))</f>
        <v/>
      </c>
      <c r="H11" s="5">
        <f>IF(A11="","",IF(AND(C11&gt;=Config!$B$3,G11="No"),"¡Le toca abrir la cápsula!",IF(AND(C11&gt;=Config!$B$2,F11="No"),"¡Le toca llavero con nombre!",IF(C11&lt;Config!$B$2,"Faltan "&amp;D11&amp;" para el llavero","Faltan "&amp;E11&amp;" para la cápsula"))))</f>
        <v/>
      </c>
    </row>
    <row r="12">
      <c r="A12" s="11" t="n"/>
      <c r="B12" s="5">
        <f>IF(A12="","",IFERROR(INDEX(Pedidos!$C$2:$C$501,MATCH(A12,Pedidos!$B$2:$B$501,0)),""))</f>
        <v/>
      </c>
      <c r="C12" s="5">
        <f>IF(A12="","",SUMIFS(Pedidos!$J$2:$J$501,Pedidos!$B$2:$B$501,A12))</f>
        <v/>
      </c>
      <c r="D12" s="5">
        <f>IF(A12="","",MAX(0,Config!$B$2-C12))</f>
        <v/>
      </c>
      <c r="E12" s="5">
        <f>IF(A12="","",MAX(0,Config!$B$3-C12))</f>
        <v/>
      </c>
      <c r="F12" s="5">
        <f>IF(A12="","",IF(COUNTIFS(Pedidos!$B$2:$B$501,A12,Pedidos!$D$2:$D$501,"Canje llavero")&gt;0,"Sí","No"))</f>
        <v/>
      </c>
      <c r="G12" s="5">
        <f>IF(A12="","",IF(COUNTIFS(Pedidos!$B$2:$B$501,A12,Pedidos!$D$2:$D$501,"Canje cápsula")&gt;0,"Sí","No"))</f>
        <v/>
      </c>
      <c r="H12" s="5">
        <f>IF(A12="","",IF(AND(C12&gt;=Config!$B$3,G12="No"),"¡Le toca abrir la cápsula!",IF(AND(C12&gt;=Config!$B$2,F12="No"),"¡Le toca llavero con nombre!",IF(C12&lt;Config!$B$2,"Faltan "&amp;D12&amp;" para el llavero","Faltan "&amp;E12&amp;" para la cápsula"))))</f>
        <v/>
      </c>
    </row>
    <row r="13">
      <c r="A13" s="11" t="n"/>
      <c r="B13" s="5">
        <f>IF(A13="","",IFERROR(INDEX(Pedidos!$C$2:$C$501,MATCH(A13,Pedidos!$B$2:$B$501,0)),""))</f>
        <v/>
      </c>
      <c r="C13" s="5">
        <f>IF(A13="","",SUMIFS(Pedidos!$J$2:$J$501,Pedidos!$B$2:$B$501,A13))</f>
        <v/>
      </c>
      <c r="D13" s="5">
        <f>IF(A13="","",MAX(0,Config!$B$2-C13))</f>
        <v/>
      </c>
      <c r="E13" s="5">
        <f>IF(A13="","",MAX(0,Config!$B$3-C13))</f>
        <v/>
      </c>
      <c r="F13" s="5">
        <f>IF(A13="","",IF(COUNTIFS(Pedidos!$B$2:$B$501,A13,Pedidos!$D$2:$D$501,"Canje llavero")&gt;0,"Sí","No"))</f>
        <v/>
      </c>
      <c r="G13" s="5">
        <f>IF(A13="","",IF(COUNTIFS(Pedidos!$B$2:$B$501,A13,Pedidos!$D$2:$D$501,"Canje cápsula")&gt;0,"Sí","No"))</f>
        <v/>
      </c>
      <c r="H13" s="5">
        <f>IF(A13="","",IF(AND(C13&gt;=Config!$B$3,G13="No"),"¡Le toca abrir la cápsula!",IF(AND(C13&gt;=Config!$B$2,F13="No"),"¡Le toca llavero con nombre!",IF(C13&lt;Config!$B$2,"Faltan "&amp;D13&amp;" para el llavero","Faltan "&amp;E13&amp;" para la cápsula"))))</f>
        <v/>
      </c>
    </row>
    <row r="14">
      <c r="A14" s="11" t="n"/>
      <c r="B14" s="5">
        <f>IF(A14="","",IFERROR(INDEX(Pedidos!$C$2:$C$501,MATCH(A14,Pedidos!$B$2:$B$501,0)),""))</f>
        <v/>
      </c>
      <c r="C14" s="5">
        <f>IF(A14="","",SUMIFS(Pedidos!$J$2:$J$501,Pedidos!$B$2:$B$501,A14))</f>
        <v/>
      </c>
      <c r="D14" s="5">
        <f>IF(A14="","",MAX(0,Config!$B$2-C14))</f>
        <v/>
      </c>
      <c r="E14" s="5">
        <f>IF(A14="","",MAX(0,Config!$B$3-C14))</f>
        <v/>
      </c>
      <c r="F14" s="5">
        <f>IF(A14="","",IF(COUNTIFS(Pedidos!$B$2:$B$501,A14,Pedidos!$D$2:$D$501,"Canje llavero")&gt;0,"Sí","No"))</f>
        <v/>
      </c>
      <c r="G14" s="5">
        <f>IF(A14="","",IF(COUNTIFS(Pedidos!$B$2:$B$501,A14,Pedidos!$D$2:$D$501,"Canje cápsula")&gt;0,"Sí","No"))</f>
        <v/>
      </c>
      <c r="H14" s="5">
        <f>IF(A14="","",IF(AND(C14&gt;=Config!$B$3,G14="No"),"¡Le toca abrir la cápsula!",IF(AND(C14&gt;=Config!$B$2,F14="No"),"¡Le toca llavero con nombre!",IF(C14&lt;Config!$B$2,"Faltan "&amp;D14&amp;" para el llavero","Faltan "&amp;E14&amp;" para la cápsula"))))</f>
        <v/>
      </c>
    </row>
    <row r="15">
      <c r="A15" s="11" t="n"/>
      <c r="B15" s="5">
        <f>IF(A15="","",IFERROR(INDEX(Pedidos!$C$2:$C$501,MATCH(A15,Pedidos!$B$2:$B$501,0)),""))</f>
        <v/>
      </c>
      <c r="C15" s="5">
        <f>IF(A15="","",SUMIFS(Pedidos!$J$2:$J$501,Pedidos!$B$2:$B$501,A15))</f>
        <v/>
      </c>
      <c r="D15" s="5">
        <f>IF(A15="","",MAX(0,Config!$B$2-C15))</f>
        <v/>
      </c>
      <c r="E15" s="5">
        <f>IF(A15="","",MAX(0,Config!$B$3-C15))</f>
        <v/>
      </c>
      <c r="F15" s="5">
        <f>IF(A15="","",IF(COUNTIFS(Pedidos!$B$2:$B$501,A15,Pedidos!$D$2:$D$501,"Canje llavero")&gt;0,"Sí","No"))</f>
        <v/>
      </c>
      <c r="G15" s="5">
        <f>IF(A15="","",IF(COUNTIFS(Pedidos!$B$2:$B$501,A15,Pedidos!$D$2:$D$501,"Canje cápsula")&gt;0,"Sí","No"))</f>
        <v/>
      </c>
      <c r="H15" s="5">
        <f>IF(A15="","",IF(AND(C15&gt;=Config!$B$3,G15="No"),"¡Le toca abrir la cápsula!",IF(AND(C15&gt;=Config!$B$2,F15="No"),"¡Le toca llavero con nombre!",IF(C15&lt;Config!$B$2,"Faltan "&amp;D15&amp;" para el llavero","Faltan "&amp;E15&amp;" para la cápsula"))))</f>
        <v/>
      </c>
    </row>
    <row r="16">
      <c r="A16" s="11" t="n"/>
      <c r="B16" s="5">
        <f>IF(A16="","",IFERROR(INDEX(Pedidos!$C$2:$C$501,MATCH(A16,Pedidos!$B$2:$B$501,0)),""))</f>
        <v/>
      </c>
      <c r="C16" s="5">
        <f>IF(A16="","",SUMIFS(Pedidos!$J$2:$J$501,Pedidos!$B$2:$B$501,A16))</f>
        <v/>
      </c>
      <c r="D16" s="5">
        <f>IF(A16="","",MAX(0,Config!$B$2-C16))</f>
        <v/>
      </c>
      <c r="E16" s="5">
        <f>IF(A16="","",MAX(0,Config!$B$3-C16))</f>
        <v/>
      </c>
      <c r="F16" s="5">
        <f>IF(A16="","",IF(COUNTIFS(Pedidos!$B$2:$B$501,A16,Pedidos!$D$2:$D$501,"Canje llavero")&gt;0,"Sí","No"))</f>
        <v/>
      </c>
      <c r="G16" s="5">
        <f>IF(A16="","",IF(COUNTIFS(Pedidos!$B$2:$B$501,A16,Pedidos!$D$2:$D$501,"Canje cápsula")&gt;0,"Sí","No"))</f>
        <v/>
      </c>
      <c r="H16" s="5">
        <f>IF(A16="","",IF(AND(C16&gt;=Config!$B$3,G16="No"),"¡Le toca abrir la cápsula!",IF(AND(C16&gt;=Config!$B$2,F16="No"),"¡Le toca llavero con nombre!",IF(C16&lt;Config!$B$2,"Faltan "&amp;D16&amp;" para el llavero","Faltan "&amp;E16&amp;" para la cápsula"))))</f>
        <v/>
      </c>
    </row>
    <row r="17">
      <c r="A17" s="11" t="n"/>
      <c r="B17" s="5">
        <f>IF(A17="","",IFERROR(INDEX(Pedidos!$C$2:$C$501,MATCH(A17,Pedidos!$B$2:$B$501,0)),""))</f>
        <v/>
      </c>
      <c r="C17" s="5">
        <f>IF(A17="","",SUMIFS(Pedidos!$J$2:$J$501,Pedidos!$B$2:$B$501,A17))</f>
        <v/>
      </c>
      <c r="D17" s="5">
        <f>IF(A17="","",MAX(0,Config!$B$2-C17))</f>
        <v/>
      </c>
      <c r="E17" s="5">
        <f>IF(A17="","",MAX(0,Config!$B$3-C17))</f>
        <v/>
      </c>
      <c r="F17" s="5">
        <f>IF(A17="","",IF(COUNTIFS(Pedidos!$B$2:$B$501,A17,Pedidos!$D$2:$D$501,"Canje llavero")&gt;0,"Sí","No"))</f>
        <v/>
      </c>
      <c r="G17" s="5">
        <f>IF(A17="","",IF(COUNTIFS(Pedidos!$B$2:$B$501,A17,Pedidos!$D$2:$D$501,"Canje cápsula")&gt;0,"Sí","No"))</f>
        <v/>
      </c>
      <c r="H17" s="5">
        <f>IF(A17="","",IF(AND(C17&gt;=Config!$B$3,G17="No"),"¡Le toca abrir la cápsula!",IF(AND(C17&gt;=Config!$B$2,F17="No"),"¡Le toca llavero con nombre!",IF(C17&lt;Config!$B$2,"Faltan "&amp;D17&amp;" para el llavero","Faltan "&amp;E17&amp;" para la cápsula"))))</f>
        <v/>
      </c>
    </row>
    <row r="18">
      <c r="A18" s="11" t="n"/>
      <c r="B18" s="5">
        <f>IF(A18="","",IFERROR(INDEX(Pedidos!$C$2:$C$501,MATCH(A18,Pedidos!$B$2:$B$501,0)),""))</f>
        <v/>
      </c>
      <c r="C18" s="5">
        <f>IF(A18="","",SUMIFS(Pedidos!$J$2:$J$501,Pedidos!$B$2:$B$501,A18))</f>
        <v/>
      </c>
      <c r="D18" s="5">
        <f>IF(A18="","",MAX(0,Config!$B$2-C18))</f>
        <v/>
      </c>
      <c r="E18" s="5">
        <f>IF(A18="","",MAX(0,Config!$B$3-C18))</f>
        <v/>
      </c>
      <c r="F18" s="5">
        <f>IF(A18="","",IF(COUNTIFS(Pedidos!$B$2:$B$501,A18,Pedidos!$D$2:$D$501,"Canje llavero")&gt;0,"Sí","No"))</f>
        <v/>
      </c>
      <c r="G18" s="5">
        <f>IF(A18="","",IF(COUNTIFS(Pedidos!$B$2:$B$501,A18,Pedidos!$D$2:$D$501,"Canje cápsula")&gt;0,"Sí","No"))</f>
        <v/>
      </c>
      <c r="H18" s="5">
        <f>IF(A18="","",IF(AND(C18&gt;=Config!$B$3,G18="No"),"¡Le toca abrir la cápsula!",IF(AND(C18&gt;=Config!$B$2,F18="No"),"¡Le toca llavero con nombre!",IF(C18&lt;Config!$B$2,"Faltan "&amp;D18&amp;" para el llavero","Faltan "&amp;E18&amp;" para la cápsula"))))</f>
        <v/>
      </c>
    </row>
    <row r="19">
      <c r="A19" s="11" t="n"/>
      <c r="B19" s="5">
        <f>IF(A19="","",IFERROR(INDEX(Pedidos!$C$2:$C$501,MATCH(A19,Pedidos!$B$2:$B$501,0)),""))</f>
        <v/>
      </c>
      <c r="C19" s="5">
        <f>IF(A19="","",SUMIFS(Pedidos!$J$2:$J$501,Pedidos!$B$2:$B$501,A19))</f>
        <v/>
      </c>
      <c r="D19" s="5">
        <f>IF(A19="","",MAX(0,Config!$B$2-C19))</f>
        <v/>
      </c>
      <c r="E19" s="5">
        <f>IF(A19="","",MAX(0,Config!$B$3-C19))</f>
        <v/>
      </c>
      <c r="F19" s="5">
        <f>IF(A19="","",IF(COUNTIFS(Pedidos!$B$2:$B$501,A19,Pedidos!$D$2:$D$501,"Canje llavero")&gt;0,"Sí","No"))</f>
        <v/>
      </c>
      <c r="G19" s="5">
        <f>IF(A19="","",IF(COUNTIFS(Pedidos!$B$2:$B$501,A19,Pedidos!$D$2:$D$501,"Canje cápsula")&gt;0,"Sí","No"))</f>
        <v/>
      </c>
      <c r="H19" s="5">
        <f>IF(A19="","",IF(AND(C19&gt;=Config!$B$3,G19="No"),"¡Le toca abrir la cápsula!",IF(AND(C19&gt;=Config!$B$2,F19="No"),"¡Le toca llavero con nombre!",IF(C19&lt;Config!$B$2,"Faltan "&amp;D19&amp;" para el llavero","Faltan "&amp;E19&amp;" para la cápsula"))))</f>
        <v/>
      </c>
    </row>
    <row r="20">
      <c r="A20" s="11" t="n"/>
      <c r="B20" s="5">
        <f>IF(A20="","",IFERROR(INDEX(Pedidos!$C$2:$C$501,MATCH(A20,Pedidos!$B$2:$B$501,0)),""))</f>
        <v/>
      </c>
      <c r="C20" s="5">
        <f>IF(A20="","",SUMIFS(Pedidos!$J$2:$J$501,Pedidos!$B$2:$B$501,A20))</f>
        <v/>
      </c>
      <c r="D20" s="5">
        <f>IF(A20="","",MAX(0,Config!$B$2-C20))</f>
        <v/>
      </c>
      <c r="E20" s="5">
        <f>IF(A20="","",MAX(0,Config!$B$3-C20))</f>
        <v/>
      </c>
      <c r="F20" s="5">
        <f>IF(A20="","",IF(COUNTIFS(Pedidos!$B$2:$B$501,A20,Pedidos!$D$2:$D$501,"Canje llavero")&gt;0,"Sí","No"))</f>
        <v/>
      </c>
      <c r="G20" s="5">
        <f>IF(A20="","",IF(COUNTIFS(Pedidos!$B$2:$B$501,A20,Pedidos!$D$2:$D$501,"Canje cápsula")&gt;0,"Sí","No"))</f>
        <v/>
      </c>
      <c r="H20" s="5">
        <f>IF(A20="","",IF(AND(C20&gt;=Config!$B$3,G20="No"),"¡Le toca abrir la cápsula!",IF(AND(C20&gt;=Config!$B$2,F20="No"),"¡Le toca llavero con nombre!",IF(C20&lt;Config!$B$2,"Faltan "&amp;D20&amp;" para el llavero","Faltan "&amp;E20&amp;" para la cápsula"))))</f>
        <v/>
      </c>
    </row>
    <row r="21">
      <c r="A21" s="11" t="n"/>
      <c r="B21" s="5">
        <f>IF(A21="","",IFERROR(INDEX(Pedidos!$C$2:$C$501,MATCH(A21,Pedidos!$B$2:$B$501,0)),""))</f>
        <v/>
      </c>
      <c r="C21" s="5">
        <f>IF(A21="","",SUMIFS(Pedidos!$J$2:$J$501,Pedidos!$B$2:$B$501,A21))</f>
        <v/>
      </c>
      <c r="D21" s="5">
        <f>IF(A21="","",MAX(0,Config!$B$2-C21))</f>
        <v/>
      </c>
      <c r="E21" s="5">
        <f>IF(A21="","",MAX(0,Config!$B$3-C21))</f>
        <v/>
      </c>
      <c r="F21" s="5">
        <f>IF(A21="","",IF(COUNTIFS(Pedidos!$B$2:$B$501,A21,Pedidos!$D$2:$D$501,"Canje llavero")&gt;0,"Sí","No"))</f>
        <v/>
      </c>
      <c r="G21" s="5">
        <f>IF(A21="","",IF(COUNTIFS(Pedidos!$B$2:$B$501,A21,Pedidos!$D$2:$D$501,"Canje cápsula")&gt;0,"Sí","No"))</f>
        <v/>
      </c>
      <c r="H21" s="5">
        <f>IF(A21="","",IF(AND(C21&gt;=Config!$B$3,G21="No"),"¡Le toca abrir la cápsula!",IF(AND(C21&gt;=Config!$B$2,F21="No"),"¡Le toca llavero con nombre!",IF(C21&lt;Config!$B$2,"Faltan "&amp;D21&amp;" para el llavero","Faltan "&amp;E21&amp;" para la cápsula"))))</f>
        <v/>
      </c>
    </row>
    <row r="22">
      <c r="A22" s="11" t="n"/>
      <c r="B22" s="5">
        <f>IF(A22="","",IFERROR(INDEX(Pedidos!$C$2:$C$501,MATCH(A22,Pedidos!$B$2:$B$501,0)),""))</f>
        <v/>
      </c>
      <c r="C22" s="5">
        <f>IF(A22="","",SUMIFS(Pedidos!$J$2:$J$501,Pedidos!$B$2:$B$501,A22))</f>
        <v/>
      </c>
      <c r="D22" s="5">
        <f>IF(A22="","",MAX(0,Config!$B$2-C22))</f>
        <v/>
      </c>
      <c r="E22" s="5">
        <f>IF(A22="","",MAX(0,Config!$B$3-C22))</f>
        <v/>
      </c>
      <c r="F22" s="5">
        <f>IF(A22="","",IF(COUNTIFS(Pedidos!$B$2:$B$501,A22,Pedidos!$D$2:$D$501,"Canje llavero")&gt;0,"Sí","No"))</f>
        <v/>
      </c>
      <c r="G22" s="5">
        <f>IF(A22="","",IF(COUNTIFS(Pedidos!$B$2:$B$501,A22,Pedidos!$D$2:$D$501,"Canje cápsula")&gt;0,"Sí","No"))</f>
        <v/>
      </c>
      <c r="H22" s="5">
        <f>IF(A22="","",IF(AND(C22&gt;=Config!$B$3,G22="No"),"¡Le toca abrir la cápsula!",IF(AND(C22&gt;=Config!$B$2,F22="No"),"¡Le toca llavero con nombre!",IF(C22&lt;Config!$B$2,"Faltan "&amp;D22&amp;" para el llavero","Faltan "&amp;E22&amp;" para la cápsula"))))</f>
        <v/>
      </c>
    </row>
    <row r="23">
      <c r="A23" s="11" t="n"/>
      <c r="B23" s="5">
        <f>IF(A23="","",IFERROR(INDEX(Pedidos!$C$2:$C$501,MATCH(A23,Pedidos!$B$2:$B$501,0)),""))</f>
        <v/>
      </c>
      <c r="C23" s="5">
        <f>IF(A23="","",SUMIFS(Pedidos!$J$2:$J$501,Pedidos!$B$2:$B$501,A23))</f>
        <v/>
      </c>
      <c r="D23" s="5">
        <f>IF(A23="","",MAX(0,Config!$B$2-C23))</f>
        <v/>
      </c>
      <c r="E23" s="5">
        <f>IF(A23="","",MAX(0,Config!$B$3-C23))</f>
        <v/>
      </c>
      <c r="F23" s="5">
        <f>IF(A23="","",IF(COUNTIFS(Pedidos!$B$2:$B$501,A23,Pedidos!$D$2:$D$501,"Canje llavero")&gt;0,"Sí","No"))</f>
        <v/>
      </c>
      <c r="G23" s="5">
        <f>IF(A23="","",IF(COUNTIFS(Pedidos!$B$2:$B$501,A23,Pedidos!$D$2:$D$501,"Canje cápsula")&gt;0,"Sí","No"))</f>
        <v/>
      </c>
      <c r="H23" s="5">
        <f>IF(A23="","",IF(AND(C23&gt;=Config!$B$3,G23="No"),"¡Le toca abrir la cápsula!",IF(AND(C23&gt;=Config!$B$2,F23="No"),"¡Le toca llavero con nombre!",IF(C23&lt;Config!$B$2,"Faltan "&amp;D23&amp;" para el llavero","Faltan "&amp;E23&amp;" para la cápsula"))))</f>
        <v/>
      </c>
    </row>
    <row r="24">
      <c r="A24" s="11" t="n"/>
      <c r="B24" s="5">
        <f>IF(A24="","",IFERROR(INDEX(Pedidos!$C$2:$C$501,MATCH(A24,Pedidos!$B$2:$B$501,0)),""))</f>
        <v/>
      </c>
      <c r="C24" s="5">
        <f>IF(A24="","",SUMIFS(Pedidos!$J$2:$J$501,Pedidos!$B$2:$B$501,A24))</f>
        <v/>
      </c>
      <c r="D24" s="5">
        <f>IF(A24="","",MAX(0,Config!$B$2-C24))</f>
        <v/>
      </c>
      <c r="E24" s="5">
        <f>IF(A24="","",MAX(0,Config!$B$3-C24))</f>
        <v/>
      </c>
      <c r="F24" s="5">
        <f>IF(A24="","",IF(COUNTIFS(Pedidos!$B$2:$B$501,A24,Pedidos!$D$2:$D$501,"Canje llavero")&gt;0,"Sí","No"))</f>
        <v/>
      </c>
      <c r="G24" s="5">
        <f>IF(A24="","",IF(COUNTIFS(Pedidos!$B$2:$B$501,A24,Pedidos!$D$2:$D$501,"Canje cápsula")&gt;0,"Sí","No"))</f>
        <v/>
      </c>
      <c r="H24" s="5">
        <f>IF(A24="","",IF(AND(C24&gt;=Config!$B$3,G24="No"),"¡Le toca abrir la cápsula!",IF(AND(C24&gt;=Config!$B$2,F24="No"),"¡Le toca llavero con nombre!",IF(C24&lt;Config!$B$2,"Faltan "&amp;D24&amp;" para el llavero","Faltan "&amp;E24&amp;" para la cápsula"))))</f>
        <v/>
      </c>
    </row>
    <row r="25">
      <c r="A25" s="11" t="n"/>
      <c r="B25" s="5">
        <f>IF(A25="","",IFERROR(INDEX(Pedidos!$C$2:$C$501,MATCH(A25,Pedidos!$B$2:$B$501,0)),""))</f>
        <v/>
      </c>
      <c r="C25" s="5">
        <f>IF(A25="","",SUMIFS(Pedidos!$J$2:$J$501,Pedidos!$B$2:$B$501,A25))</f>
        <v/>
      </c>
      <c r="D25" s="5">
        <f>IF(A25="","",MAX(0,Config!$B$2-C25))</f>
        <v/>
      </c>
      <c r="E25" s="5">
        <f>IF(A25="","",MAX(0,Config!$B$3-C25))</f>
        <v/>
      </c>
      <c r="F25" s="5">
        <f>IF(A25="","",IF(COUNTIFS(Pedidos!$B$2:$B$501,A25,Pedidos!$D$2:$D$501,"Canje llavero")&gt;0,"Sí","No"))</f>
        <v/>
      </c>
      <c r="G25" s="5">
        <f>IF(A25="","",IF(COUNTIFS(Pedidos!$B$2:$B$501,A25,Pedidos!$D$2:$D$501,"Canje cápsula")&gt;0,"Sí","No"))</f>
        <v/>
      </c>
      <c r="H25" s="5">
        <f>IF(A25="","",IF(AND(C25&gt;=Config!$B$3,G25="No"),"¡Le toca abrir la cápsula!",IF(AND(C25&gt;=Config!$B$2,F25="No"),"¡Le toca llavero con nombre!",IF(C25&lt;Config!$B$2,"Faltan "&amp;D25&amp;" para el llavero","Faltan "&amp;E25&amp;" para la cápsula"))))</f>
        <v/>
      </c>
    </row>
    <row r="26">
      <c r="A26" s="11" t="n"/>
      <c r="B26" s="5">
        <f>IF(A26="","",IFERROR(INDEX(Pedidos!$C$2:$C$501,MATCH(A26,Pedidos!$B$2:$B$501,0)),""))</f>
        <v/>
      </c>
      <c r="C26" s="5">
        <f>IF(A26="","",SUMIFS(Pedidos!$J$2:$J$501,Pedidos!$B$2:$B$501,A26))</f>
        <v/>
      </c>
      <c r="D26" s="5">
        <f>IF(A26="","",MAX(0,Config!$B$2-C26))</f>
        <v/>
      </c>
      <c r="E26" s="5">
        <f>IF(A26="","",MAX(0,Config!$B$3-C26))</f>
        <v/>
      </c>
      <c r="F26" s="5">
        <f>IF(A26="","",IF(COUNTIFS(Pedidos!$B$2:$B$501,A26,Pedidos!$D$2:$D$501,"Canje llavero")&gt;0,"Sí","No"))</f>
        <v/>
      </c>
      <c r="G26" s="5">
        <f>IF(A26="","",IF(COUNTIFS(Pedidos!$B$2:$B$501,A26,Pedidos!$D$2:$D$501,"Canje cápsula")&gt;0,"Sí","No"))</f>
        <v/>
      </c>
      <c r="H26" s="5">
        <f>IF(A26="","",IF(AND(C26&gt;=Config!$B$3,G26="No"),"¡Le toca abrir la cápsula!",IF(AND(C26&gt;=Config!$B$2,F26="No"),"¡Le toca llavero con nombre!",IF(C26&lt;Config!$B$2,"Faltan "&amp;D26&amp;" para el llavero","Faltan "&amp;E26&amp;" para la cápsula"))))</f>
        <v/>
      </c>
    </row>
    <row r="27">
      <c r="A27" s="11" t="n"/>
      <c r="B27" s="5">
        <f>IF(A27="","",IFERROR(INDEX(Pedidos!$C$2:$C$501,MATCH(A27,Pedidos!$B$2:$B$501,0)),""))</f>
        <v/>
      </c>
      <c r="C27" s="5">
        <f>IF(A27="","",SUMIFS(Pedidos!$J$2:$J$501,Pedidos!$B$2:$B$501,A27))</f>
        <v/>
      </c>
      <c r="D27" s="5">
        <f>IF(A27="","",MAX(0,Config!$B$2-C27))</f>
        <v/>
      </c>
      <c r="E27" s="5">
        <f>IF(A27="","",MAX(0,Config!$B$3-C27))</f>
        <v/>
      </c>
      <c r="F27" s="5">
        <f>IF(A27="","",IF(COUNTIFS(Pedidos!$B$2:$B$501,A27,Pedidos!$D$2:$D$501,"Canje llavero")&gt;0,"Sí","No"))</f>
        <v/>
      </c>
      <c r="G27" s="5">
        <f>IF(A27="","",IF(COUNTIFS(Pedidos!$B$2:$B$501,A27,Pedidos!$D$2:$D$501,"Canje cápsula")&gt;0,"Sí","No"))</f>
        <v/>
      </c>
      <c r="H27" s="5">
        <f>IF(A27="","",IF(AND(C27&gt;=Config!$B$3,G27="No"),"¡Le toca abrir la cápsula!",IF(AND(C27&gt;=Config!$B$2,F27="No"),"¡Le toca llavero con nombre!",IF(C27&lt;Config!$B$2,"Faltan "&amp;D27&amp;" para el llavero","Faltan "&amp;E27&amp;" para la cápsula"))))</f>
        <v/>
      </c>
    </row>
    <row r="28">
      <c r="A28" s="11" t="n"/>
      <c r="B28" s="5">
        <f>IF(A28="","",IFERROR(INDEX(Pedidos!$C$2:$C$501,MATCH(A28,Pedidos!$B$2:$B$501,0)),""))</f>
        <v/>
      </c>
      <c r="C28" s="5">
        <f>IF(A28="","",SUMIFS(Pedidos!$J$2:$J$501,Pedidos!$B$2:$B$501,A28))</f>
        <v/>
      </c>
      <c r="D28" s="5">
        <f>IF(A28="","",MAX(0,Config!$B$2-C28))</f>
        <v/>
      </c>
      <c r="E28" s="5">
        <f>IF(A28="","",MAX(0,Config!$B$3-C28))</f>
        <v/>
      </c>
      <c r="F28" s="5">
        <f>IF(A28="","",IF(COUNTIFS(Pedidos!$B$2:$B$501,A28,Pedidos!$D$2:$D$501,"Canje llavero")&gt;0,"Sí","No"))</f>
        <v/>
      </c>
      <c r="G28" s="5">
        <f>IF(A28="","",IF(COUNTIFS(Pedidos!$B$2:$B$501,A28,Pedidos!$D$2:$D$501,"Canje cápsula")&gt;0,"Sí","No"))</f>
        <v/>
      </c>
      <c r="H28" s="5">
        <f>IF(A28="","",IF(AND(C28&gt;=Config!$B$3,G28="No"),"¡Le toca abrir la cápsula!",IF(AND(C28&gt;=Config!$B$2,F28="No"),"¡Le toca llavero con nombre!",IF(C28&lt;Config!$B$2,"Faltan "&amp;D28&amp;" para el llavero","Faltan "&amp;E28&amp;" para la cápsula"))))</f>
        <v/>
      </c>
    </row>
    <row r="29">
      <c r="A29" s="11" t="n"/>
      <c r="B29" s="5">
        <f>IF(A29="","",IFERROR(INDEX(Pedidos!$C$2:$C$501,MATCH(A29,Pedidos!$B$2:$B$501,0)),""))</f>
        <v/>
      </c>
      <c r="C29" s="5">
        <f>IF(A29="","",SUMIFS(Pedidos!$J$2:$J$501,Pedidos!$B$2:$B$501,A29))</f>
        <v/>
      </c>
      <c r="D29" s="5">
        <f>IF(A29="","",MAX(0,Config!$B$2-C29))</f>
        <v/>
      </c>
      <c r="E29" s="5">
        <f>IF(A29="","",MAX(0,Config!$B$3-C29))</f>
        <v/>
      </c>
      <c r="F29" s="5">
        <f>IF(A29="","",IF(COUNTIFS(Pedidos!$B$2:$B$501,A29,Pedidos!$D$2:$D$501,"Canje llavero")&gt;0,"Sí","No"))</f>
        <v/>
      </c>
      <c r="G29" s="5">
        <f>IF(A29="","",IF(COUNTIFS(Pedidos!$B$2:$B$501,A29,Pedidos!$D$2:$D$501,"Canje cápsula")&gt;0,"Sí","No"))</f>
        <v/>
      </c>
      <c r="H29" s="5">
        <f>IF(A29="","",IF(AND(C29&gt;=Config!$B$3,G29="No"),"¡Le toca abrir la cápsula!",IF(AND(C29&gt;=Config!$B$2,F29="No"),"¡Le toca llavero con nombre!",IF(C29&lt;Config!$B$2,"Faltan "&amp;D29&amp;" para el llavero","Faltan "&amp;E29&amp;" para la cápsula"))))</f>
        <v/>
      </c>
    </row>
    <row r="30">
      <c r="A30" s="11" t="n"/>
      <c r="B30" s="5">
        <f>IF(A30="","",IFERROR(INDEX(Pedidos!$C$2:$C$501,MATCH(A30,Pedidos!$B$2:$B$501,0)),""))</f>
        <v/>
      </c>
      <c r="C30" s="5">
        <f>IF(A30="","",SUMIFS(Pedidos!$J$2:$J$501,Pedidos!$B$2:$B$501,A30))</f>
        <v/>
      </c>
      <c r="D30" s="5">
        <f>IF(A30="","",MAX(0,Config!$B$2-C30))</f>
        <v/>
      </c>
      <c r="E30" s="5">
        <f>IF(A30="","",MAX(0,Config!$B$3-C30))</f>
        <v/>
      </c>
      <c r="F30" s="5">
        <f>IF(A30="","",IF(COUNTIFS(Pedidos!$B$2:$B$501,A30,Pedidos!$D$2:$D$501,"Canje llavero")&gt;0,"Sí","No"))</f>
        <v/>
      </c>
      <c r="G30" s="5">
        <f>IF(A30="","",IF(COUNTIFS(Pedidos!$B$2:$B$501,A30,Pedidos!$D$2:$D$501,"Canje cápsula")&gt;0,"Sí","No"))</f>
        <v/>
      </c>
      <c r="H30" s="5">
        <f>IF(A30="","",IF(AND(C30&gt;=Config!$B$3,G30="No"),"¡Le toca abrir la cápsula!",IF(AND(C30&gt;=Config!$B$2,F30="No"),"¡Le toca llavero con nombre!",IF(C30&lt;Config!$B$2,"Faltan "&amp;D30&amp;" para el llavero","Faltan "&amp;E30&amp;" para la cápsula"))))</f>
        <v/>
      </c>
    </row>
    <row r="31">
      <c r="A31" s="11" t="n"/>
      <c r="B31" s="5">
        <f>IF(A31="","",IFERROR(INDEX(Pedidos!$C$2:$C$501,MATCH(A31,Pedidos!$B$2:$B$501,0)),""))</f>
        <v/>
      </c>
      <c r="C31" s="5">
        <f>IF(A31="","",SUMIFS(Pedidos!$J$2:$J$501,Pedidos!$B$2:$B$501,A31))</f>
        <v/>
      </c>
      <c r="D31" s="5">
        <f>IF(A31="","",MAX(0,Config!$B$2-C31))</f>
        <v/>
      </c>
      <c r="E31" s="5">
        <f>IF(A31="","",MAX(0,Config!$B$3-C31))</f>
        <v/>
      </c>
      <c r="F31" s="5">
        <f>IF(A31="","",IF(COUNTIFS(Pedidos!$B$2:$B$501,A31,Pedidos!$D$2:$D$501,"Canje llavero")&gt;0,"Sí","No"))</f>
        <v/>
      </c>
      <c r="G31" s="5">
        <f>IF(A31="","",IF(COUNTIFS(Pedidos!$B$2:$B$501,A31,Pedidos!$D$2:$D$501,"Canje cápsula")&gt;0,"Sí","No"))</f>
        <v/>
      </c>
      <c r="H31" s="5">
        <f>IF(A31="","",IF(AND(C31&gt;=Config!$B$3,G31="No"),"¡Le toca abrir la cápsula!",IF(AND(C31&gt;=Config!$B$2,F31="No"),"¡Le toca llavero con nombre!",IF(C31&lt;Config!$B$2,"Faltan "&amp;D31&amp;" para el llavero","Faltan "&amp;E31&amp;" para la cápsula"))))</f>
        <v/>
      </c>
    </row>
    <row r="32">
      <c r="A32" s="11" t="n"/>
      <c r="B32" s="5">
        <f>IF(A32="","",IFERROR(INDEX(Pedidos!$C$2:$C$501,MATCH(A32,Pedidos!$B$2:$B$501,0)),""))</f>
        <v/>
      </c>
      <c r="C32" s="5">
        <f>IF(A32="","",SUMIFS(Pedidos!$J$2:$J$501,Pedidos!$B$2:$B$501,A32))</f>
        <v/>
      </c>
      <c r="D32" s="5">
        <f>IF(A32="","",MAX(0,Config!$B$2-C32))</f>
        <v/>
      </c>
      <c r="E32" s="5">
        <f>IF(A32="","",MAX(0,Config!$B$3-C32))</f>
        <v/>
      </c>
      <c r="F32" s="5">
        <f>IF(A32="","",IF(COUNTIFS(Pedidos!$B$2:$B$501,A32,Pedidos!$D$2:$D$501,"Canje llavero")&gt;0,"Sí","No"))</f>
        <v/>
      </c>
      <c r="G32" s="5">
        <f>IF(A32="","",IF(COUNTIFS(Pedidos!$B$2:$B$501,A32,Pedidos!$D$2:$D$501,"Canje cápsula")&gt;0,"Sí","No"))</f>
        <v/>
      </c>
      <c r="H32" s="5">
        <f>IF(A32="","",IF(AND(C32&gt;=Config!$B$3,G32="No"),"¡Le toca abrir la cápsula!",IF(AND(C32&gt;=Config!$B$2,F32="No"),"¡Le toca llavero con nombre!",IF(C32&lt;Config!$B$2,"Faltan "&amp;D32&amp;" para el llavero","Faltan "&amp;E32&amp;" para la cápsula"))))</f>
        <v/>
      </c>
    </row>
    <row r="33">
      <c r="A33" s="11" t="n"/>
      <c r="B33" s="5">
        <f>IF(A33="","",IFERROR(INDEX(Pedidos!$C$2:$C$501,MATCH(A33,Pedidos!$B$2:$B$501,0)),""))</f>
        <v/>
      </c>
      <c r="C33" s="5">
        <f>IF(A33="","",SUMIFS(Pedidos!$J$2:$J$501,Pedidos!$B$2:$B$501,A33))</f>
        <v/>
      </c>
      <c r="D33" s="5">
        <f>IF(A33="","",MAX(0,Config!$B$2-C33))</f>
        <v/>
      </c>
      <c r="E33" s="5">
        <f>IF(A33="","",MAX(0,Config!$B$3-C33))</f>
        <v/>
      </c>
      <c r="F33" s="5">
        <f>IF(A33="","",IF(COUNTIFS(Pedidos!$B$2:$B$501,A33,Pedidos!$D$2:$D$501,"Canje llavero")&gt;0,"Sí","No"))</f>
        <v/>
      </c>
      <c r="G33" s="5">
        <f>IF(A33="","",IF(COUNTIFS(Pedidos!$B$2:$B$501,A33,Pedidos!$D$2:$D$501,"Canje cápsula")&gt;0,"Sí","No"))</f>
        <v/>
      </c>
      <c r="H33" s="5">
        <f>IF(A33="","",IF(AND(C33&gt;=Config!$B$3,G33="No"),"¡Le toca abrir la cápsula!",IF(AND(C33&gt;=Config!$B$2,F33="No"),"¡Le toca llavero con nombre!",IF(C33&lt;Config!$B$2,"Faltan "&amp;D33&amp;" para el llavero","Faltan "&amp;E33&amp;" para la cápsula"))))</f>
        <v/>
      </c>
    </row>
    <row r="34">
      <c r="A34" s="11" t="n"/>
      <c r="B34" s="5">
        <f>IF(A34="","",IFERROR(INDEX(Pedidos!$C$2:$C$501,MATCH(A34,Pedidos!$B$2:$B$501,0)),""))</f>
        <v/>
      </c>
      <c r="C34" s="5">
        <f>IF(A34="","",SUMIFS(Pedidos!$J$2:$J$501,Pedidos!$B$2:$B$501,A34))</f>
        <v/>
      </c>
      <c r="D34" s="5">
        <f>IF(A34="","",MAX(0,Config!$B$2-C34))</f>
        <v/>
      </c>
      <c r="E34" s="5">
        <f>IF(A34="","",MAX(0,Config!$B$3-C34))</f>
        <v/>
      </c>
      <c r="F34" s="5">
        <f>IF(A34="","",IF(COUNTIFS(Pedidos!$B$2:$B$501,A34,Pedidos!$D$2:$D$501,"Canje llavero")&gt;0,"Sí","No"))</f>
        <v/>
      </c>
      <c r="G34" s="5">
        <f>IF(A34="","",IF(COUNTIFS(Pedidos!$B$2:$B$501,A34,Pedidos!$D$2:$D$501,"Canje cápsula")&gt;0,"Sí","No"))</f>
        <v/>
      </c>
      <c r="H34" s="5">
        <f>IF(A34="","",IF(AND(C34&gt;=Config!$B$3,G34="No"),"¡Le toca abrir la cápsula!",IF(AND(C34&gt;=Config!$B$2,F34="No"),"¡Le toca llavero con nombre!",IF(C34&lt;Config!$B$2,"Faltan "&amp;D34&amp;" para el llavero","Faltan "&amp;E34&amp;" para la cápsula"))))</f>
        <v/>
      </c>
    </row>
    <row r="35">
      <c r="A35" s="11" t="n"/>
      <c r="B35" s="5">
        <f>IF(A35="","",IFERROR(INDEX(Pedidos!$C$2:$C$501,MATCH(A35,Pedidos!$B$2:$B$501,0)),""))</f>
        <v/>
      </c>
      <c r="C35" s="5">
        <f>IF(A35="","",SUMIFS(Pedidos!$J$2:$J$501,Pedidos!$B$2:$B$501,A35))</f>
        <v/>
      </c>
      <c r="D35" s="5">
        <f>IF(A35="","",MAX(0,Config!$B$2-C35))</f>
        <v/>
      </c>
      <c r="E35" s="5">
        <f>IF(A35="","",MAX(0,Config!$B$3-C35))</f>
        <v/>
      </c>
      <c r="F35" s="5">
        <f>IF(A35="","",IF(COUNTIFS(Pedidos!$B$2:$B$501,A35,Pedidos!$D$2:$D$501,"Canje llavero")&gt;0,"Sí","No"))</f>
        <v/>
      </c>
      <c r="G35" s="5">
        <f>IF(A35="","",IF(COUNTIFS(Pedidos!$B$2:$B$501,A35,Pedidos!$D$2:$D$501,"Canje cápsula")&gt;0,"Sí","No"))</f>
        <v/>
      </c>
      <c r="H35" s="5">
        <f>IF(A35="","",IF(AND(C35&gt;=Config!$B$3,G35="No"),"¡Le toca abrir la cápsula!",IF(AND(C35&gt;=Config!$B$2,F35="No"),"¡Le toca llavero con nombre!",IF(C35&lt;Config!$B$2,"Faltan "&amp;D35&amp;" para el llavero","Faltan "&amp;E35&amp;" para la cápsula"))))</f>
        <v/>
      </c>
    </row>
    <row r="36">
      <c r="A36" s="11" t="n"/>
      <c r="B36" s="5">
        <f>IF(A36="","",IFERROR(INDEX(Pedidos!$C$2:$C$501,MATCH(A36,Pedidos!$B$2:$B$501,0)),""))</f>
        <v/>
      </c>
      <c r="C36" s="5">
        <f>IF(A36="","",SUMIFS(Pedidos!$J$2:$J$501,Pedidos!$B$2:$B$501,A36))</f>
        <v/>
      </c>
      <c r="D36" s="5">
        <f>IF(A36="","",MAX(0,Config!$B$2-C36))</f>
        <v/>
      </c>
      <c r="E36" s="5">
        <f>IF(A36="","",MAX(0,Config!$B$3-C36))</f>
        <v/>
      </c>
      <c r="F36" s="5">
        <f>IF(A36="","",IF(COUNTIFS(Pedidos!$B$2:$B$501,A36,Pedidos!$D$2:$D$501,"Canje llavero")&gt;0,"Sí","No"))</f>
        <v/>
      </c>
      <c r="G36" s="5">
        <f>IF(A36="","",IF(COUNTIFS(Pedidos!$B$2:$B$501,A36,Pedidos!$D$2:$D$501,"Canje cápsula")&gt;0,"Sí","No"))</f>
        <v/>
      </c>
      <c r="H36" s="5">
        <f>IF(A36="","",IF(AND(C36&gt;=Config!$B$3,G36="No"),"¡Le toca abrir la cápsula!",IF(AND(C36&gt;=Config!$B$2,F36="No"),"¡Le toca llavero con nombre!",IF(C36&lt;Config!$B$2,"Faltan "&amp;D36&amp;" para el llavero","Faltan "&amp;E36&amp;" para la cápsula"))))</f>
        <v/>
      </c>
    </row>
    <row r="37">
      <c r="A37" s="11" t="n"/>
      <c r="B37" s="5">
        <f>IF(A37="","",IFERROR(INDEX(Pedidos!$C$2:$C$501,MATCH(A37,Pedidos!$B$2:$B$501,0)),""))</f>
        <v/>
      </c>
      <c r="C37" s="5">
        <f>IF(A37="","",SUMIFS(Pedidos!$J$2:$J$501,Pedidos!$B$2:$B$501,A37))</f>
        <v/>
      </c>
      <c r="D37" s="5">
        <f>IF(A37="","",MAX(0,Config!$B$2-C37))</f>
        <v/>
      </c>
      <c r="E37" s="5">
        <f>IF(A37="","",MAX(0,Config!$B$3-C37))</f>
        <v/>
      </c>
      <c r="F37" s="5">
        <f>IF(A37="","",IF(COUNTIFS(Pedidos!$B$2:$B$501,A37,Pedidos!$D$2:$D$501,"Canje llavero")&gt;0,"Sí","No"))</f>
        <v/>
      </c>
      <c r="G37" s="5">
        <f>IF(A37="","",IF(COUNTIFS(Pedidos!$B$2:$B$501,A37,Pedidos!$D$2:$D$501,"Canje cápsula")&gt;0,"Sí","No"))</f>
        <v/>
      </c>
      <c r="H37" s="5">
        <f>IF(A37="","",IF(AND(C37&gt;=Config!$B$3,G37="No"),"¡Le toca abrir la cápsula!",IF(AND(C37&gt;=Config!$B$2,F37="No"),"¡Le toca llavero con nombre!",IF(C37&lt;Config!$B$2,"Faltan "&amp;D37&amp;" para el llavero","Faltan "&amp;E37&amp;" para la cápsula"))))</f>
        <v/>
      </c>
    </row>
    <row r="38">
      <c r="A38" s="11" t="n"/>
      <c r="B38" s="5">
        <f>IF(A38="","",IFERROR(INDEX(Pedidos!$C$2:$C$501,MATCH(A38,Pedidos!$B$2:$B$501,0)),""))</f>
        <v/>
      </c>
      <c r="C38" s="5">
        <f>IF(A38="","",SUMIFS(Pedidos!$J$2:$J$501,Pedidos!$B$2:$B$501,A38))</f>
        <v/>
      </c>
      <c r="D38" s="5">
        <f>IF(A38="","",MAX(0,Config!$B$2-C38))</f>
        <v/>
      </c>
      <c r="E38" s="5">
        <f>IF(A38="","",MAX(0,Config!$B$3-C38))</f>
        <v/>
      </c>
      <c r="F38" s="5">
        <f>IF(A38="","",IF(COUNTIFS(Pedidos!$B$2:$B$501,A38,Pedidos!$D$2:$D$501,"Canje llavero")&gt;0,"Sí","No"))</f>
        <v/>
      </c>
      <c r="G38" s="5">
        <f>IF(A38="","",IF(COUNTIFS(Pedidos!$B$2:$B$501,A38,Pedidos!$D$2:$D$501,"Canje cápsula")&gt;0,"Sí","No"))</f>
        <v/>
      </c>
      <c r="H38" s="5">
        <f>IF(A38="","",IF(AND(C38&gt;=Config!$B$3,G38="No"),"¡Le toca abrir la cápsula!",IF(AND(C38&gt;=Config!$B$2,F38="No"),"¡Le toca llavero con nombre!",IF(C38&lt;Config!$B$2,"Faltan "&amp;D38&amp;" para el llavero","Faltan "&amp;E38&amp;" para la cápsula"))))</f>
        <v/>
      </c>
    </row>
    <row r="39">
      <c r="A39" s="11" t="n"/>
      <c r="B39" s="5">
        <f>IF(A39="","",IFERROR(INDEX(Pedidos!$C$2:$C$501,MATCH(A39,Pedidos!$B$2:$B$501,0)),""))</f>
        <v/>
      </c>
      <c r="C39" s="5">
        <f>IF(A39="","",SUMIFS(Pedidos!$J$2:$J$501,Pedidos!$B$2:$B$501,A39))</f>
        <v/>
      </c>
      <c r="D39" s="5">
        <f>IF(A39="","",MAX(0,Config!$B$2-C39))</f>
        <v/>
      </c>
      <c r="E39" s="5">
        <f>IF(A39="","",MAX(0,Config!$B$3-C39))</f>
        <v/>
      </c>
      <c r="F39" s="5">
        <f>IF(A39="","",IF(COUNTIFS(Pedidos!$B$2:$B$501,A39,Pedidos!$D$2:$D$501,"Canje llavero")&gt;0,"Sí","No"))</f>
        <v/>
      </c>
      <c r="G39" s="5">
        <f>IF(A39="","",IF(COUNTIFS(Pedidos!$B$2:$B$501,A39,Pedidos!$D$2:$D$501,"Canje cápsula")&gt;0,"Sí","No"))</f>
        <v/>
      </c>
      <c r="H39" s="5">
        <f>IF(A39="","",IF(AND(C39&gt;=Config!$B$3,G39="No"),"¡Le toca abrir la cápsula!",IF(AND(C39&gt;=Config!$B$2,F39="No"),"¡Le toca llavero con nombre!",IF(C39&lt;Config!$B$2,"Faltan "&amp;D39&amp;" para el llavero","Faltan "&amp;E39&amp;" para la cápsula"))))</f>
        <v/>
      </c>
    </row>
    <row r="40">
      <c r="A40" s="11" t="n"/>
      <c r="B40" s="5">
        <f>IF(A40="","",IFERROR(INDEX(Pedidos!$C$2:$C$501,MATCH(A40,Pedidos!$B$2:$B$501,0)),""))</f>
        <v/>
      </c>
      <c r="C40" s="5">
        <f>IF(A40="","",SUMIFS(Pedidos!$J$2:$J$501,Pedidos!$B$2:$B$501,A40))</f>
        <v/>
      </c>
      <c r="D40" s="5">
        <f>IF(A40="","",MAX(0,Config!$B$2-C40))</f>
        <v/>
      </c>
      <c r="E40" s="5">
        <f>IF(A40="","",MAX(0,Config!$B$3-C40))</f>
        <v/>
      </c>
      <c r="F40" s="5">
        <f>IF(A40="","",IF(COUNTIFS(Pedidos!$B$2:$B$501,A40,Pedidos!$D$2:$D$501,"Canje llavero")&gt;0,"Sí","No"))</f>
        <v/>
      </c>
      <c r="G40" s="5">
        <f>IF(A40="","",IF(COUNTIFS(Pedidos!$B$2:$B$501,A40,Pedidos!$D$2:$D$501,"Canje cápsula")&gt;0,"Sí","No"))</f>
        <v/>
      </c>
      <c r="H40" s="5">
        <f>IF(A40="","",IF(AND(C40&gt;=Config!$B$3,G40="No"),"¡Le toca abrir la cápsula!",IF(AND(C40&gt;=Config!$B$2,F40="No"),"¡Le toca llavero con nombre!",IF(C40&lt;Config!$B$2,"Faltan "&amp;D40&amp;" para el llavero","Faltan "&amp;E40&amp;" para la cápsula"))))</f>
        <v/>
      </c>
    </row>
    <row r="41">
      <c r="A41" s="11" t="n"/>
      <c r="B41" s="5">
        <f>IF(A41="","",IFERROR(INDEX(Pedidos!$C$2:$C$501,MATCH(A41,Pedidos!$B$2:$B$501,0)),""))</f>
        <v/>
      </c>
      <c r="C41" s="5">
        <f>IF(A41="","",SUMIFS(Pedidos!$J$2:$J$501,Pedidos!$B$2:$B$501,A41))</f>
        <v/>
      </c>
      <c r="D41" s="5">
        <f>IF(A41="","",MAX(0,Config!$B$2-C41))</f>
        <v/>
      </c>
      <c r="E41" s="5">
        <f>IF(A41="","",MAX(0,Config!$B$3-C41))</f>
        <v/>
      </c>
      <c r="F41" s="5">
        <f>IF(A41="","",IF(COUNTIFS(Pedidos!$B$2:$B$501,A41,Pedidos!$D$2:$D$501,"Canje llavero")&gt;0,"Sí","No"))</f>
        <v/>
      </c>
      <c r="G41" s="5">
        <f>IF(A41="","",IF(COUNTIFS(Pedidos!$B$2:$B$501,A41,Pedidos!$D$2:$D$501,"Canje cápsula")&gt;0,"Sí","No"))</f>
        <v/>
      </c>
      <c r="H41" s="5">
        <f>IF(A41="","",IF(AND(C41&gt;=Config!$B$3,G41="No"),"¡Le toca abrir la cápsula!",IF(AND(C41&gt;=Config!$B$2,F41="No"),"¡Le toca llavero con nombre!",IF(C41&lt;Config!$B$2,"Faltan "&amp;D41&amp;" para el llavero","Faltan "&amp;E41&amp;" para la cápsula"))))</f>
        <v/>
      </c>
    </row>
    <row r="42">
      <c r="A42" s="11" t="n"/>
      <c r="B42" s="5">
        <f>IF(A42="","",IFERROR(INDEX(Pedidos!$C$2:$C$501,MATCH(A42,Pedidos!$B$2:$B$501,0)),""))</f>
        <v/>
      </c>
      <c r="C42" s="5">
        <f>IF(A42="","",SUMIFS(Pedidos!$J$2:$J$501,Pedidos!$B$2:$B$501,A42))</f>
        <v/>
      </c>
      <c r="D42" s="5">
        <f>IF(A42="","",MAX(0,Config!$B$2-C42))</f>
        <v/>
      </c>
      <c r="E42" s="5">
        <f>IF(A42="","",MAX(0,Config!$B$3-C42))</f>
        <v/>
      </c>
      <c r="F42" s="5">
        <f>IF(A42="","",IF(COUNTIFS(Pedidos!$B$2:$B$501,A42,Pedidos!$D$2:$D$501,"Canje llavero")&gt;0,"Sí","No"))</f>
        <v/>
      </c>
      <c r="G42" s="5">
        <f>IF(A42="","",IF(COUNTIFS(Pedidos!$B$2:$B$501,A42,Pedidos!$D$2:$D$501,"Canje cápsula")&gt;0,"Sí","No"))</f>
        <v/>
      </c>
      <c r="H42" s="5">
        <f>IF(A42="","",IF(AND(C42&gt;=Config!$B$3,G42="No"),"¡Le toca abrir la cápsula!",IF(AND(C42&gt;=Config!$B$2,F42="No"),"¡Le toca llavero con nombre!",IF(C42&lt;Config!$B$2,"Faltan "&amp;D42&amp;" para el llavero","Faltan "&amp;E42&amp;" para la cápsula"))))</f>
        <v/>
      </c>
    </row>
    <row r="43">
      <c r="A43" s="11" t="n"/>
      <c r="B43" s="5">
        <f>IF(A43="","",IFERROR(INDEX(Pedidos!$C$2:$C$501,MATCH(A43,Pedidos!$B$2:$B$501,0)),""))</f>
        <v/>
      </c>
      <c r="C43" s="5">
        <f>IF(A43="","",SUMIFS(Pedidos!$J$2:$J$501,Pedidos!$B$2:$B$501,A43))</f>
        <v/>
      </c>
      <c r="D43" s="5">
        <f>IF(A43="","",MAX(0,Config!$B$2-C43))</f>
        <v/>
      </c>
      <c r="E43" s="5">
        <f>IF(A43="","",MAX(0,Config!$B$3-C43))</f>
        <v/>
      </c>
      <c r="F43" s="5">
        <f>IF(A43="","",IF(COUNTIFS(Pedidos!$B$2:$B$501,A43,Pedidos!$D$2:$D$501,"Canje llavero")&gt;0,"Sí","No"))</f>
        <v/>
      </c>
      <c r="G43" s="5">
        <f>IF(A43="","",IF(COUNTIFS(Pedidos!$B$2:$B$501,A43,Pedidos!$D$2:$D$501,"Canje cápsula")&gt;0,"Sí","No"))</f>
        <v/>
      </c>
      <c r="H43" s="5">
        <f>IF(A43="","",IF(AND(C43&gt;=Config!$B$3,G43="No"),"¡Le toca abrir la cápsula!",IF(AND(C43&gt;=Config!$B$2,F43="No"),"¡Le toca llavero con nombre!",IF(C43&lt;Config!$B$2,"Faltan "&amp;D43&amp;" para el llavero","Faltan "&amp;E43&amp;" para la cápsula"))))</f>
        <v/>
      </c>
    </row>
    <row r="44">
      <c r="A44" s="11" t="n"/>
      <c r="B44" s="5">
        <f>IF(A44="","",IFERROR(INDEX(Pedidos!$C$2:$C$501,MATCH(A44,Pedidos!$B$2:$B$501,0)),""))</f>
        <v/>
      </c>
      <c r="C44" s="5">
        <f>IF(A44="","",SUMIFS(Pedidos!$J$2:$J$501,Pedidos!$B$2:$B$501,A44))</f>
        <v/>
      </c>
      <c r="D44" s="5">
        <f>IF(A44="","",MAX(0,Config!$B$2-C44))</f>
        <v/>
      </c>
      <c r="E44" s="5">
        <f>IF(A44="","",MAX(0,Config!$B$3-C44))</f>
        <v/>
      </c>
      <c r="F44" s="5">
        <f>IF(A44="","",IF(COUNTIFS(Pedidos!$B$2:$B$501,A44,Pedidos!$D$2:$D$501,"Canje llavero")&gt;0,"Sí","No"))</f>
        <v/>
      </c>
      <c r="G44" s="5">
        <f>IF(A44="","",IF(COUNTIFS(Pedidos!$B$2:$B$501,A44,Pedidos!$D$2:$D$501,"Canje cápsula")&gt;0,"Sí","No"))</f>
        <v/>
      </c>
      <c r="H44" s="5">
        <f>IF(A44="","",IF(AND(C44&gt;=Config!$B$3,G44="No"),"¡Le toca abrir la cápsula!",IF(AND(C44&gt;=Config!$B$2,F44="No"),"¡Le toca llavero con nombre!",IF(C44&lt;Config!$B$2,"Faltan "&amp;D44&amp;" para el llavero","Faltan "&amp;E44&amp;" para la cápsula"))))</f>
        <v/>
      </c>
    </row>
    <row r="45">
      <c r="A45" s="11" t="n"/>
      <c r="B45" s="5">
        <f>IF(A45="","",IFERROR(INDEX(Pedidos!$C$2:$C$501,MATCH(A45,Pedidos!$B$2:$B$501,0)),""))</f>
        <v/>
      </c>
      <c r="C45" s="5">
        <f>IF(A45="","",SUMIFS(Pedidos!$J$2:$J$501,Pedidos!$B$2:$B$501,A45))</f>
        <v/>
      </c>
      <c r="D45" s="5">
        <f>IF(A45="","",MAX(0,Config!$B$2-C45))</f>
        <v/>
      </c>
      <c r="E45" s="5">
        <f>IF(A45="","",MAX(0,Config!$B$3-C45))</f>
        <v/>
      </c>
      <c r="F45" s="5">
        <f>IF(A45="","",IF(COUNTIFS(Pedidos!$B$2:$B$501,A45,Pedidos!$D$2:$D$501,"Canje llavero")&gt;0,"Sí","No"))</f>
        <v/>
      </c>
      <c r="G45" s="5">
        <f>IF(A45="","",IF(COUNTIFS(Pedidos!$B$2:$B$501,A45,Pedidos!$D$2:$D$501,"Canje cápsula")&gt;0,"Sí","No"))</f>
        <v/>
      </c>
      <c r="H45" s="5">
        <f>IF(A45="","",IF(AND(C45&gt;=Config!$B$3,G45="No"),"¡Le toca abrir la cápsula!",IF(AND(C45&gt;=Config!$B$2,F45="No"),"¡Le toca llavero con nombre!",IF(C45&lt;Config!$B$2,"Faltan "&amp;D45&amp;" para el llavero","Faltan "&amp;E45&amp;" para la cápsula"))))</f>
        <v/>
      </c>
    </row>
    <row r="46">
      <c r="A46" s="11" t="n"/>
      <c r="B46" s="5">
        <f>IF(A46="","",IFERROR(INDEX(Pedidos!$C$2:$C$501,MATCH(A46,Pedidos!$B$2:$B$501,0)),""))</f>
        <v/>
      </c>
      <c r="C46" s="5">
        <f>IF(A46="","",SUMIFS(Pedidos!$J$2:$J$501,Pedidos!$B$2:$B$501,A46))</f>
        <v/>
      </c>
      <c r="D46" s="5">
        <f>IF(A46="","",MAX(0,Config!$B$2-C46))</f>
        <v/>
      </c>
      <c r="E46" s="5">
        <f>IF(A46="","",MAX(0,Config!$B$3-C46))</f>
        <v/>
      </c>
      <c r="F46" s="5">
        <f>IF(A46="","",IF(COUNTIFS(Pedidos!$B$2:$B$501,A46,Pedidos!$D$2:$D$501,"Canje llavero")&gt;0,"Sí","No"))</f>
        <v/>
      </c>
      <c r="G46" s="5">
        <f>IF(A46="","",IF(COUNTIFS(Pedidos!$B$2:$B$501,A46,Pedidos!$D$2:$D$501,"Canje cápsula")&gt;0,"Sí","No"))</f>
        <v/>
      </c>
      <c r="H46" s="5">
        <f>IF(A46="","",IF(AND(C46&gt;=Config!$B$3,G46="No"),"¡Le toca abrir la cápsula!",IF(AND(C46&gt;=Config!$B$2,F46="No"),"¡Le toca llavero con nombre!",IF(C46&lt;Config!$B$2,"Faltan "&amp;D46&amp;" para el llavero","Faltan "&amp;E46&amp;" para la cápsula"))))</f>
        <v/>
      </c>
    </row>
    <row r="47">
      <c r="A47" s="11" t="n"/>
      <c r="B47" s="5">
        <f>IF(A47="","",IFERROR(INDEX(Pedidos!$C$2:$C$501,MATCH(A47,Pedidos!$B$2:$B$501,0)),""))</f>
        <v/>
      </c>
      <c r="C47" s="5">
        <f>IF(A47="","",SUMIFS(Pedidos!$J$2:$J$501,Pedidos!$B$2:$B$501,A47))</f>
        <v/>
      </c>
      <c r="D47" s="5">
        <f>IF(A47="","",MAX(0,Config!$B$2-C47))</f>
        <v/>
      </c>
      <c r="E47" s="5">
        <f>IF(A47="","",MAX(0,Config!$B$3-C47))</f>
        <v/>
      </c>
      <c r="F47" s="5">
        <f>IF(A47="","",IF(COUNTIFS(Pedidos!$B$2:$B$501,A47,Pedidos!$D$2:$D$501,"Canje llavero")&gt;0,"Sí","No"))</f>
        <v/>
      </c>
      <c r="G47" s="5">
        <f>IF(A47="","",IF(COUNTIFS(Pedidos!$B$2:$B$501,A47,Pedidos!$D$2:$D$501,"Canje cápsula")&gt;0,"Sí","No"))</f>
        <v/>
      </c>
      <c r="H47" s="5">
        <f>IF(A47="","",IF(AND(C47&gt;=Config!$B$3,G47="No"),"¡Le toca abrir la cápsula!",IF(AND(C47&gt;=Config!$B$2,F47="No"),"¡Le toca llavero con nombre!",IF(C47&lt;Config!$B$2,"Faltan "&amp;D47&amp;" para el llavero","Faltan "&amp;E47&amp;" para la cápsula"))))</f>
        <v/>
      </c>
    </row>
    <row r="48">
      <c r="A48" s="11" t="n"/>
      <c r="B48" s="5">
        <f>IF(A48="","",IFERROR(INDEX(Pedidos!$C$2:$C$501,MATCH(A48,Pedidos!$B$2:$B$501,0)),""))</f>
        <v/>
      </c>
      <c r="C48" s="5">
        <f>IF(A48="","",SUMIFS(Pedidos!$J$2:$J$501,Pedidos!$B$2:$B$501,A48))</f>
        <v/>
      </c>
      <c r="D48" s="5">
        <f>IF(A48="","",MAX(0,Config!$B$2-C48))</f>
        <v/>
      </c>
      <c r="E48" s="5">
        <f>IF(A48="","",MAX(0,Config!$B$3-C48))</f>
        <v/>
      </c>
      <c r="F48" s="5">
        <f>IF(A48="","",IF(COUNTIFS(Pedidos!$B$2:$B$501,A48,Pedidos!$D$2:$D$501,"Canje llavero")&gt;0,"Sí","No"))</f>
        <v/>
      </c>
      <c r="G48" s="5">
        <f>IF(A48="","",IF(COUNTIFS(Pedidos!$B$2:$B$501,A48,Pedidos!$D$2:$D$501,"Canje cápsula")&gt;0,"Sí","No"))</f>
        <v/>
      </c>
      <c r="H48" s="5">
        <f>IF(A48="","",IF(AND(C48&gt;=Config!$B$3,G48="No"),"¡Le toca abrir la cápsula!",IF(AND(C48&gt;=Config!$B$2,F48="No"),"¡Le toca llavero con nombre!",IF(C48&lt;Config!$B$2,"Faltan "&amp;D48&amp;" para el llavero","Faltan "&amp;E48&amp;" para la cápsula"))))</f>
        <v/>
      </c>
    </row>
    <row r="49">
      <c r="A49" s="11" t="n"/>
      <c r="B49" s="5">
        <f>IF(A49="","",IFERROR(INDEX(Pedidos!$C$2:$C$501,MATCH(A49,Pedidos!$B$2:$B$501,0)),""))</f>
        <v/>
      </c>
      <c r="C49" s="5">
        <f>IF(A49="","",SUMIFS(Pedidos!$J$2:$J$501,Pedidos!$B$2:$B$501,A49))</f>
        <v/>
      </c>
      <c r="D49" s="5">
        <f>IF(A49="","",MAX(0,Config!$B$2-C49))</f>
        <v/>
      </c>
      <c r="E49" s="5">
        <f>IF(A49="","",MAX(0,Config!$B$3-C49))</f>
        <v/>
      </c>
      <c r="F49" s="5">
        <f>IF(A49="","",IF(COUNTIFS(Pedidos!$B$2:$B$501,A49,Pedidos!$D$2:$D$501,"Canje llavero")&gt;0,"Sí","No"))</f>
        <v/>
      </c>
      <c r="G49" s="5">
        <f>IF(A49="","",IF(COUNTIFS(Pedidos!$B$2:$B$501,A49,Pedidos!$D$2:$D$501,"Canje cápsula")&gt;0,"Sí","No"))</f>
        <v/>
      </c>
      <c r="H49" s="5">
        <f>IF(A49="","",IF(AND(C49&gt;=Config!$B$3,G49="No"),"¡Le toca abrir la cápsula!",IF(AND(C49&gt;=Config!$B$2,F49="No"),"¡Le toca llavero con nombre!",IF(C49&lt;Config!$B$2,"Faltan "&amp;D49&amp;" para el llavero","Faltan "&amp;E49&amp;" para la cápsula"))))</f>
        <v/>
      </c>
    </row>
    <row r="50">
      <c r="A50" s="11" t="n"/>
      <c r="B50" s="5">
        <f>IF(A50="","",IFERROR(INDEX(Pedidos!$C$2:$C$501,MATCH(A50,Pedidos!$B$2:$B$501,0)),""))</f>
        <v/>
      </c>
      <c r="C50" s="5">
        <f>IF(A50="","",SUMIFS(Pedidos!$J$2:$J$501,Pedidos!$B$2:$B$501,A50))</f>
        <v/>
      </c>
      <c r="D50" s="5">
        <f>IF(A50="","",MAX(0,Config!$B$2-C50))</f>
        <v/>
      </c>
      <c r="E50" s="5">
        <f>IF(A50="","",MAX(0,Config!$B$3-C50))</f>
        <v/>
      </c>
      <c r="F50" s="5">
        <f>IF(A50="","",IF(COUNTIFS(Pedidos!$B$2:$B$501,A50,Pedidos!$D$2:$D$501,"Canje llavero")&gt;0,"Sí","No"))</f>
        <v/>
      </c>
      <c r="G50" s="5">
        <f>IF(A50="","",IF(COUNTIFS(Pedidos!$B$2:$B$501,A50,Pedidos!$D$2:$D$501,"Canje cápsula")&gt;0,"Sí","No"))</f>
        <v/>
      </c>
      <c r="H50" s="5">
        <f>IF(A50="","",IF(AND(C50&gt;=Config!$B$3,G50="No"),"¡Le toca abrir la cápsula!",IF(AND(C50&gt;=Config!$B$2,F50="No"),"¡Le toca llavero con nombre!",IF(C50&lt;Config!$B$2,"Faltan "&amp;D50&amp;" para el llavero","Faltan "&amp;E50&amp;" para la cápsula"))))</f>
        <v/>
      </c>
    </row>
    <row r="51">
      <c r="A51" s="11" t="n"/>
      <c r="B51" s="5">
        <f>IF(A51="","",IFERROR(INDEX(Pedidos!$C$2:$C$501,MATCH(A51,Pedidos!$B$2:$B$501,0)),""))</f>
        <v/>
      </c>
      <c r="C51" s="5">
        <f>IF(A51="","",SUMIFS(Pedidos!$J$2:$J$501,Pedidos!$B$2:$B$501,A51))</f>
        <v/>
      </c>
      <c r="D51" s="5">
        <f>IF(A51="","",MAX(0,Config!$B$2-C51))</f>
        <v/>
      </c>
      <c r="E51" s="5">
        <f>IF(A51="","",MAX(0,Config!$B$3-C51))</f>
        <v/>
      </c>
      <c r="F51" s="5">
        <f>IF(A51="","",IF(COUNTIFS(Pedidos!$B$2:$B$501,A51,Pedidos!$D$2:$D$501,"Canje llavero")&gt;0,"Sí","No"))</f>
        <v/>
      </c>
      <c r="G51" s="5">
        <f>IF(A51="","",IF(COUNTIFS(Pedidos!$B$2:$B$501,A51,Pedidos!$D$2:$D$501,"Canje cápsula")&gt;0,"Sí","No"))</f>
        <v/>
      </c>
      <c r="H51" s="5">
        <f>IF(A51="","",IF(AND(C51&gt;=Config!$B$3,G51="No"),"¡Le toca abrir la cápsula!",IF(AND(C51&gt;=Config!$B$2,F51="No"),"¡Le toca llavero con nombre!",IF(C51&lt;Config!$B$2,"Faltan "&amp;D51&amp;" para el llavero","Faltan "&amp;E51&amp;" para la cápsula"))))</f>
        <v/>
      </c>
    </row>
    <row r="52">
      <c r="A52" s="11" t="n"/>
      <c r="B52" s="5">
        <f>IF(A52="","",IFERROR(INDEX(Pedidos!$C$2:$C$501,MATCH(A52,Pedidos!$B$2:$B$501,0)),""))</f>
        <v/>
      </c>
      <c r="C52" s="5">
        <f>IF(A52="","",SUMIFS(Pedidos!$J$2:$J$501,Pedidos!$B$2:$B$501,A52))</f>
        <v/>
      </c>
      <c r="D52" s="5">
        <f>IF(A52="","",MAX(0,Config!$B$2-C52))</f>
        <v/>
      </c>
      <c r="E52" s="5">
        <f>IF(A52="","",MAX(0,Config!$B$3-C52))</f>
        <v/>
      </c>
      <c r="F52" s="5">
        <f>IF(A52="","",IF(COUNTIFS(Pedidos!$B$2:$B$501,A52,Pedidos!$D$2:$D$501,"Canje llavero")&gt;0,"Sí","No"))</f>
        <v/>
      </c>
      <c r="G52" s="5">
        <f>IF(A52="","",IF(COUNTIFS(Pedidos!$B$2:$B$501,A52,Pedidos!$D$2:$D$501,"Canje cápsula")&gt;0,"Sí","No"))</f>
        <v/>
      </c>
      <c r="H52" s="5">
        <f>IF(A52="","",IF(AND(C52&gt;=Config!$B$3,G52="No"),"¡Le toca abrir la cápsula!",IF(AND(C52&gt;=Config!$B$2,F52="No"),"¡Le toca llavero con nombre!",IF(C52&lt;Config!$B$2,"Faltan "&amp;D52&amp;" para el llavero","Faltan "&amp;E52&amp;" para la cápsula"))))</f>
        <v/>
      </c>
    </row>
    <row r="53">
      <c r="A53" s="11" t="n"/>
      <c r="B53" s="5">
        <f>IF(A53="","",IFERROR(INDEX(Pedidos!$C$2:$C$501,MATCH(A53,Pedidos!$B$2:$B$501,0)),""))</f>
        <v/>
      </c>
      <c r="C53" s="5">
        <f>IF(A53="","",SUMIFS(Pedidos!$J$2:$J$501,Pedidos!$B$2:$B$501,A53))</f>
        <v/>
      </c>
      <c r="D53" s="5">
        <f>IF(A53="","",MAX(0,Config!$B$2-C53))</f>
        <v/>
      </c>
      <c r="E53" s="5">
        <f>IF(A53="","",MAX(0,Config!$B$3-C53))</f>
        <v/>
      </c>
      <c r="F53" s="5">
        <f>IF(A53="","",IF(COUNTIFS(Pedidos!$B$2:$B$501,A53,Pedidos!$D$2:$D$501,"Canje llavero")&gt;0,"Sí","No"))</f>
        <v/>
      </c>
      <c r="G53" s="5">
        <f>IF(A53="","",IF(COUNTIFS(Pedidos!$B$2:$B$501,A53,Pedidos!$D$2:$D$501,"Canje cápsula")&gt;0,"Sí","No"))</f>
        <v/>
      </c>
      <c r="H53" s="5">
        <f>IF(A53="","",IF(AND(C53&gt;=Config!$B$3,G53="No"),"¡Le toca abrir la cápsula!",IF(AND(C53&gt;=Config!$B$2,F53="No"),"¡Le toca llavero con nombre!",IF(C53&lt;Config!$B$2,"Faltan "&amp;D53&amp;" para el llavero","Faltan "&amp;E53&amp;" para la cápsula"))))</f>
        <v/>
      </c>
    </row>
    <row r="54">
      <c r="A54" s="11" t="n"/>
      <c r="B54" s="5">
        <f>IF(A54="","",IFERROR(INDEX(Pedidos!$C$2:$C$501,MATCH(A54,Pedidos!$B$2:$B$501,0)),""))</f>
        <v/>
      </c>
      <c r="C54" s="5">
        <f>IF(A54="","",SUMIFS(Pedidos!$J$2:$J$501,Pedidos!$B$2:$B$501,A54))</f>
        <v/>
      </c>
      <c r="D54" s="5">
        <f>IF(A54="","",MAX(0,Config!$B$2-C54))</f>
        <v/>
      </c>
      <c r="E54" s="5">
        <f>IF(A54="","",MAX(0,Config!$B$3-C54))</f>
        <v/>
      </c>
      <c r="F54" s="5">
        <f>IF(A54="","",IF(COUNTIFS(Pedidos!$B$2:$B$501,A54,Pedidos!$D$2:$D$501,"Canje llavero")&gt;0,"Sí","No"))</f>
        <v/>
      </c>
      <c r="G54" s="5">
        <f>IF(A54="","",IF(COUNTIFS(Pedidos!$B$2:$B$501,A54,Pedidos!$D$2:$D$501,"Canje cápsula")&gt;0,"Sí","No"))</f>
        <v/>
      </c>
      <c r="H54" s="5">
        <f>IF(A54="","",IF(AND(C54&gt;=Config!$B$3,G54="No"),"¡Le toca abrir la cápsula!",IF(AND(C54&gt;=Config!$B$2,F54="No"),"¡Le toca llavero con nombre!",IF(C54&lt;Config!$B$2,"Faltan "&amp;D54&amp;" para el llavero","Faltan "&amp;E54&amp;" para la cápsula"))))</f>
        <v/>
      </c>
    </row>
    <row r="55">
      <c r="A55" s="11" t="n"/>
      <c r="B55" s="5">
        <f>IF(A55="","",IFERROR(INDEX(Pedidos!$C$2:$C$501,MATCH(A55,Pedidos!$B$2:$B$501,0)),""))</f>
        <v/>
      </c>
      <c r="C55" s="5">
        <f>IF(A55="","",SUMIFS(Pedidos!$J$2:$J$501,Pedidos!$B$2:$B$501,A55))</f>
        <v/>
      </c>
      <c r="D55" s="5">
        <f>IF(A55="","",MAX(0,Config!$B$2-C55))</f>
        <v/>
      </c>
      <c r="E55" s="5">
        <f>IF(A55="","",MAX(0,Config!$B$3-C55))</f>
        <v/>
      </c>
      <c r="F55" s="5">
        <f>IF(A55="","",IF(COUNTIFS(Pedidos!$B$2:$B$501,A55,Pedidos!$D$2:$D$501,"Canje llavero")&gt;0,"Sí","No"))</f>
        <v/>
      </c>
      <c r="G55" s="5">
        <f>IF(A55="","",IF(COUNTIFS(Pedidos!$B$2:$B$501,A55,Pedidos!$D$2:$D$501,"Canje cápsula")&gt;0,"Sí","No"))</f>
        <v/>
      </c>
      <c r="H55" s="5">
        <f>IF(A55="","",IF(AND(C55&gt;=Config!$B$3,G55="No"),"¡Le toca abrir la cápsula!",IF(AND(C55&gt;=Config!$B$2,F55="No"),"¡Le toca llavero con nombre!",IF(C55&lt;Config!$B$2,"Faltan "&amp;D55&amp;" para el llavero","Faltan "&amp;E55&amp;" para la cápsula"))))</f>
        <v/>
      </c>
    </row>
    <row r="56">
      <c r="A56" s="11" t="n"/>
      <c r="B56" s="5">
        <f>IF(A56="","",IFERROR(INDEX(Pedidos!$C$2:$C$501,MATCH(A56,Pedidos!$B$2:$B$501,0)),""))</f>
        <v/>
      </c>
      <c r="C56" s="5">
        <f>IF(A56="","",SUMIFS(Pedidos!$J$2:$J$501,Pedidos!$B$2:$B$501,A56))</f>
        <v/>
      </c>
      <c r="D56" s="5">
        <f>IF(A56="","",MAX(0,Config!$B$2-C56))</f>
        <v/>
      </c>
      <c r="E56" s="5">
        <f>IF(A56="","",MAX(0,Config!$B$3-C56))</f>
        <v/>
      </c>
      <c r="F56" s="5">
        <f>IF(A56="","",IF(COUNTIFS(Pedidos!$B$2:$B$501,A56,Pedidos!$D$2:$D$501,"Canje llavero")&gt;0,"Sí","No"))</f>
        <v/>
      </c>
      <c r="G56" s="5">
        <f>IF(A56="","",IF(COUNTIFS(Pedidos!$B$2:$B$501,A56,Pedidos!$D$2:$D$501,"Canje cápsula")&gt;0,"Sí","No"))</f>
        <v/>
      </c>
      <c r="H56" s="5">
        <f>IF(A56="","",IF(AND(C56&gt;=Config!$B$3,G56="No"),"¡Le toca abrir la cápsula!",IF(AND(C56&gt;=Config!$B$2,F56="No"),"¡Le toca llavero con nombre!",IF(C56&lt;Config!$B$2,"Faltan "&amp;D56&amp;" para el llavero","Faltan "&amp;E56&amp;" para la cápsula"))))</f>
        <v/>
      </c>
    </row>
    <row r="57">
      <c r="A57" s="11" t="n"/>
      <c r="B57" s="5">
        <f>IF(A57="","",IFERROR(INDEX(Pedidos!$C$2:$C$501,MATCH(A57,Pedidos!$B$2:$B$501,0)),""))</f>
        <v/>
      </c>
      <c r="C57" s="5">
        <f>IF(A57="","",SUMIFS(Pedidos!$J$2:$J$501,Pedidos!$B$2:$B$501,A57))</f>
        <v/>
      </c>
      <c r="D57" s="5">
        <f>IF(A57="","",MAX(0,Config!$B$2-C57))</f>
        <v/>
      </c>
      <c r="E57" s="5">
        <f>IF(A57="","",MAX(0,Config!$B$3-C57))</f>
        <v/>
      </c>
      <c r="F57" s="5">
        <f>IF(A57="","",IF(COUNTIFS(Pedidos!$B$2:$B$501,A57,Pedidos!$D$2:$D$501,"Canje llavero")&gt;0,"Sí","No"))</f>
        <v/>
      </c>
      <c r="G57" s="5">
        <f>IF(A57="","",IF(COUNTIFS(Pedidos!$B$2:$B$501,A57,Pedidos!$D$2:$D$501,"Canje cápsula")&gt;0,"Sí","No"))</f>
        <v/>
      </c>
      <c r="H57" s="5">
        <f>IF(A57="","",IF(AND(C57&gt;=Config!$B$3,G57="No"),"¡Le toca abrir la cápsula!",IF(AND(C57&gt;=Config!$B$2,F57="No"),"¡Le toca llavero con nombre!",IF(C57&lt;Config!$B$2,"Faltan "&amp;D57&amp;" para el llavero","Faltan "&amp;E57&amp;" para la cápsula"))))</f>
        <v/>
      </c>
    </row>
    <row r="58">
      <c r="A58" s="11" t="n"/>
      <c r="B58" s="5">
        <f>IF(A58="","",IFERROR(INDEX(Pedidos!$C$2:$C$501,MATCH(A58,Pedidos!$B$2:$B$501,0)),""))</f>
        <v/>
      </c>
      <c r="C58" s="5">
        <f>IF(A58="","",SUMIFS(Pedidos!$J$2:$J$501,Pedidos!$B$2:$B$501,A58))</f>
        <v/>
      </c>
      <c r="D58" s="5">
        <f>IF(A58="","",MAX(0,Config!$B$2-C58))</f>
        <v/>
      </c>
      <c r="E58" s="5">
        <f>IF(A58="","",MAX(0,Config!$B$3-C58))</f>
        <v/>
      </c>
      <c r="F58" s="5">
        <f>IF(A58="","",IF(COUNTIFS(Pedidos!$B$2:$B$501,A58,Pedidos!$D$2:$D$501,"Canje llavero")&gt;0,"Sí","No"))</f>
        <v/>
      </c>
      <c r="G58" s="5">
        <f>IF(A58="","",IF(COUNTIFS(Pedidos!$B$2:$B$501,A58,Pedidos!$D$2:$D$501,"Canje cápsula")&gt;0,"Sí","No"))</f>
        <v/>
      </c>
      <c r="H58" s="5">
        <f>IF(A58="","",IF(AND(C58&gt;=Config!$B$3,G58="No"),"¡Le toca abrir la cápsula!",IF(AND(C58&gt;=Config!$B$2,F58="No"),"¡Le toca llavero con nombre!",IF(C58&lt;Config!$B$2,"Faltan "&amp;D58&amp;" para el llavero","Faltan "&amp;E58&amp;" para la cápsula"))))</f>
        <v/>
      </c>
    </row>
    <row r="59">
      <c r="A59" s="11" t="n"/>
      <c r="B59" s="5">
        <f>IF(A59="","",IFERROR(INDEX(Pedidos!$C$2:$C$501,MATCH(A59,Pedidos!$B$2:$B$501,0)),""))</f>
        <v/>
      </c>
      <c r="C59" s="5">
        <f>IF(A59="","",SUMIFS(Pedidos!$J$2:$J$501,Pedidos!$B$2:$B$501,A59))</f>
        <v/>
      </c>
      <c r="D59" s="5">
        <f>IF(A59="","",MAX(0,Config!$B$2-C59))</f>
        <v/>
      </c>
      <c r="E59" s="5">
        <f>IF(A59="","",MAX(0,Config!$B$3-C59))</f>
        <v/>
      </c>
      <c r="F59" s="5">
        <f>IF(A59="","",IF(COUNTIFS(Pedidos!$B$2:$B$501,A59,Pedidos!$D$2:$D$501,"Canje llavero")&gt;0,"Sí","No"))</f>
        <v/>
      </c>
      <c r="G59" s="5">
        <f>IF(A59="","",IF(COUNTIFS(Pedidos!$B$2:$B$501,A59,Pedidos!$D$2:$D$501,"Canje cápsula")&gt;0,"Sí","No"))</f>
        <v/>
      </c>
      <c r="H59" s="5">
        <f>IF(A59="","",IF(AND(C59&gt;=Config!$B$3,G59="No"),"¡Le toca abrir la cápsula!",IF(AND(C59&gt;=Config!$B$2,F59="No"),"¡Le toca llavero con nombre!",IF(C59&lt;Config!$B$2,"Faltan "&amp;D59&amp;" para el llavero","Faltan "&amp;E59&amp;" para la cápsula"))))</f>
        <v/>
      </c>
    </row>
    <row r="60">
      <c r="A60" s="11" t="n"/>
      <c r="B60" s="5">
        <f>IF(A60="","",IFERROR(INDEX(Pedidos!$C$2:$C$501,MATCH(A60,Pedidos!$B$2:$B$501,0)),""))</f>
        <v/>
      </c>
      <c r="C60" s="5">
        <f>IF(A60="","",SUMIFS(Pedidos!$J$2:$J$501,Pedidos!$B$2:$B$501,A60))</f>
        <v/>
      </c>
      <c r="D60" s="5">
        <f>IF(A60="","",MAX(0,Config!$B$2-C60))</f>
        <v/>
      </c>
      <c r="E60" s="5">
        <f>IF(A60="","",MAX(0,Config!$B$3-C60))</f>
        <v/>
      </c>
      <c r="F60" s="5">
        <f>IF(A60="","",IF(COUNTIFS(Pedidos!$B$2:$B$501,A60,Pedidos!$D$2:$D$501,"Canje llavero")&gt;0,"Sí","No"))</f>
        <v/>
      </c>
      <c r="G60" s="5">
        <f>IF(A60="","",IF(COUNTIFS(Pedidos!$B$2:$B$501,A60,Pedidos!$D$2:$D$501,"Canje cápsula")&gt;0,"Sí","No"))</f>
        <v/>
      </c>
      <c r="H60" s="5">
        <f>IF(A60="","",IF(AND(C60&gt;=Config!$B$3,G60="No"),"¡Le toca abrir la cápsula!",IF(AND(C60&gt;=Config!$B$2,F60="No"),"¡Le toca llavero con nombre!",IF(C60&lt;Config!$B$2,"Faltan "&amp;D60&amp;" para el llavero","Faltan "&amp;E60&amp;" para la cápsula"))))</f>
        <v/>
      </c>
    </row>
    <row r="61">
      <c r="A61" s="11" t="n"/>
      <c r="B61" s="5">
        <f>IF(A61="","",IFERROR(INDEX(Pedidos!$C$2:$C$501,MATCH(A61,Pedidos!$B$2:$B$501,0)),""))</f>
        <v/>
      </c>
      <c r="C61" s="5">
        <f>IF(A61="","",SUMIFS(Pedidos!$J$2:$J$501,Pedidos!$B$2:$B$501,A61))</f>
        <v/>
      </c>
      <c r="D61" s="5">
        <f>IF(A61="","",MAX(0,Config!$B$2-C61))</f>
        <v/>
      </c>
      <c r="E61" s="5">
        <f>IF(A61="","",MAX(0,Config!$B$3-C61))</f>
        <v/>
      </c>
      <c r="F61" s="5">
        <f>IF(A61="","",IF(COUNTIFS(Pedidos!$B$2:$B$501,A61,Pedidos!$D$2:$D$501,"Canje llavero")&gt;0,"Sí","No"))</f>
        <v/>
      </c>
      <c r="G61" s="5">
        <f>IF(A61="","",IF(COUNTIFS(Pedidos!$B$2:$B$501,A61,Pedidos!$D$2:$D$501,"Canje cápsula")&gt;0,"Sí","No"))</f>
        <v/>
      </c>
      <c r="H61" s="5">
        <f>IF(A61="","",IF(AND(C61&gt;=Config!$B$3,G61="No"),"¡Le toca abrir la cápsula!",IF(AND(C61&gt;=Config!$B$2,F61="No"),"¡Le toca llavero con nombre!",IF(C61&lt;Config!$B$2,"Faltan "&amp;D61&amp;" para el llavero","Faltan "&amp;E61&amp;" para la cápsula"))))</f>
        <v/>
      </c>
    </row>
    <row r="62">
      <c r="A62" s="11" t="n"/>
      <c r="B62" s="5">
        <f>IF(A62="","",IFERROR(INDEX(Pedidos!$C$2:$C$501,MATCH(A62,Pedidos!$B$2:$B$501,0)),""))</f>
        <v/>
      </c>
      <c r="C62" s="5">
        <f>IF(A62="","",SUMIFS(Pedidos!$J$2:$J$501,Pedidos!$B$2:$B$501,A62))</f>
        <v/>
      </c>
      <c r="D62" s="5">
        <f>IF(A62="","",MAX(0,Config!$B$2-C62))</f>
        <v/>
      </c>
      <c r="E62" s="5">
        <f>IF(A62="","",MAX(0,Config!$B$3-C62))</f>
        <v/>
      </c>
      <c r="F62" s="5">
        <f>IF(A62="","",IF(COUNTIFS(Pedidos!$B$2:$B$501,A62,Pedidos!$D$2:$D$501,"Canje llavero")&gt;0,"Sí","No"))</f>
        <v/>
      </c>
      <c r="G62" s="5">
        <f>IF(A62="","",IF(COUNTIFS(Pedidos!$B$2:$B$501,A62,Pedidos!$D$2:$D$501,"Canje cápsula")&gt;0,"Sí","No"))</f>
        <v/>
      </c>
      <c r="H62" s="5">
        <f>IF(A62="","",IF(AND(C62&gt;=Config!$B$3,G62="No"),"¡Le toca abrir la cápsula!",IF(AND(C62&gt;=Config!$B$2,F62="No"),"¡Le toca llavero con nombre!",IF(C62&lt;Config!$B$2,"Faltan "&amp;D62&amp;" para el llavero","Faltan "&amp;E62&amp;" para la cápsula"))))</f>
        <v/>
      </c>
    </row>
    <row r="63">
      <c r="A63" s="11" t="n"/>
      <c r="B63" s="5">
        <f>IF(A63="","",IFERROR(INDEX(Pedidos!$C$2:$C$501,MATCH(A63,Pedidos!$B$2:$B$501,0)),""))</f>
        <v/>
      </c>
      <c r="C63" s="5">
        <f>IF(A63="","",SUMIFS(Pedidos!$J$2:$J$501,Pedidos!$B$2:$B$501,A63))</f>
        <v/>
      </c>
      <c r="D63" s="5">
        <f>IF(A63="","",MAX(0,Config!$B$2-C63))</f>
        <v/>
      </c>
      <c r="E63" s="5">
        <f>IF(A63="","",MAX(0,Config!$B$3-C63))</f>
        <v/>
      </c>
      <c r="F63" s="5">
        <f>IF(A63="","",IF(COUNTIFS(Pedidos!$B$2:$B$501,A63,Pedidos!$D$2:$D$501,"Canje llavero")&gt;0,"Sí","No"))</f>
        <v/>
      </c>
      <c r="G63" s="5">
        <f>IF(A63="","",IF(COUNTIFS(Pedidos!$B$2:$B$501,A63,Pedidos!$D$2:$D$501,"Canje cápsula")&gt;0,"Sí","No"))</f>
        <v/>
      </c>
      <c r="H63" s="5">
        <f>IF(A63="","",IF(AND(C63&gt;=Config!$B$3,G63="No"),"¡Le toca abrir la cápsula!",IF(AND(C63&gt;=Config!$B$2,F63="No"),"¡Le toca llavero con nombre!",IF(C63&lt;Config!$B$2,"Faltan "&amp;D63&amp;" para el llavero","Faltan "&amp;E63&amp;" para la cápsula"))))</f>
        <v/>
      </c>
    </row>
    <row r="64">
      <c r="A64" s="11" t="n"/>
      <c r="B64" s="5">
        <f>IF(A64="","",IFERROR(INDEX(Pedidos!$C$2:$C$501,MATCH(A64,Pedidos!$B$2:$B$501,0)),""))</f>
        <v/>
      </c>
      <c r="C64" s="5">
        <f>IF(A64="","",SUMIFS(Pedidos!$J$2:$J$501,Pedidos!$B$2:$B$501,A64))</f>
        <v/>
      </c>
      <c r="D64" s="5">
        <f>IF(A64="","",MAX(0,Config!$B$2-C64))</f>
        <v/>
      </c>
      <c r="E64" s="5">
        <f>IF(A64="","",MAX(0,Config!$B$3-C64))</f>
        <v/>
      </c>
      <c r="F64" s="5">
        <f>IF(A64="","",IF(COUNTIFS(Pedidos!$B$2:$B$501,A64,Pedidos!$D$2:$D$501,"Canje llavero")&gt;0,"Sí","No"))</f>
        <v/>
      </c>
      <c r="G64" s="5">
        <f>IF(A64="","",IF(COUNTIFS(Pedidos!$B$2:$B$501,A64,Pedidos!$D$2:$D$501,"Canje cápsula")&gt;0,"Sí","No"))</f>
        <v/>
      </c>
      <c r="H64" s="5">
        <f>IF(A64="","",IF(AND(C64&gt;=Config!$B$3,G64="No"),"¡Le toca abrir la cápsula!",IF(AND(C64&gt;=Config!$B$2,F64="No"),"¡Le toca llavero con nombre!",IF(C64&lt;Config!$B$2,"Faltan "&amp;D64&amp;" para el llavero","Faltan "&amp;E64&amp;" para la cápsula"))))</f>
        <v/>
      </c>
    </row>
    <row r="65">
      <c r="A65" s="11" t="n"/>
      <c r="B65" s="5">
        <f>IF(A65="","",IFERROR(INDEX(Pedidos!$C$2:$C$501,MATCH(A65,Pedidos!$B$2:$B$501,0)),""))</f>
        <v/>
      </c>
      <c r="C65" s="5">
        <f>IF(A65="","",SUMIFS(Pedidos!$J$2:$J$501,Pedidos!$B$2:$B$501,A65))</f>
        <v/>
      </c>
      <c r="D65" s="5">
        <f>IF(A65="","",MAX(0,Config!$B$2-C65))</f>
        <v/>
      </c>
      <c r="E65" s="5">
        <f>IF(A65="","",MAX(0,Config!$B$3-C65))</f>
        <v/>
      </c>
      <c r="F65" s="5">
        <f>IF(A65="","",IF(COUNTIFS(Pedidos!$B$2:$B$501,A65,Pedidos!$D$2:$D$501,"Canje llavero")&gt;0,"Sí","No"))</f>
        <v/>
      </c>
      <c r="G65" s="5">
        <f>IF(A65="","",IF(COUNTIFS(Pedidos!$B$2:$B$501,A65,Pedidos!$D$2:$D$501,"Canje cápsula")&gt;0,"Sí","No"))</f>
        <v/>
      </c>
      <c r="H65" s="5">
        <f>IF(A65="","",IF(AND(C65&gt;=Config!$B$3,G65="No"),"¡Le toca abrir la cápsula!",IF(AND(C65&gt;=Config!$B$2,F65="No"),"¡Le toca llavero con nombre!",IF(C65&lt;Config!$B$2,"Faltan "&amp;D65&amp;" para el llavero","Faltan "&amp;E65&amp;" para la cápsula"))))</f>
        <v/>
      </c>
    </row>
    <row r="66">
      <c r="A66" s="11" t="n"/>
      <c r="B66" s="5">
        <f>IF(A66="","",IFERROR(INDEX(Pedidos!$C$2:$C$501,MATCH(A66,Pedidos!$B$2:$B$501,0)),""))</f>
        <v/>
      </c>
      <c r="C66" s="5">
        <f>IF(A66="","",SUMIFS(Pedidos!$J$2:$J$501,Pedidos!$B$2:$B$501,A66))</f>
        <v/>
      </c>
      <c r="D66" s="5">
        <f>IF(A66="","",MAX(0,Config!$B$2-C66))</f>
        <v/>
      </c>
      <c r="E66" s="5">
        <f>IF(A66="","",MAX(0,Config!$B$3-C66))</f>
        <v/>
      </c>
      <c r="F66" s="5">
        <f>IF(A66="","",IF(COUNTIFS(Pedidos!$B$2:$B$501,A66,Pedidos!$D$2:$D$501,"Canje llavero")&gt;0,"Sí","No"))</f>
        <v/>
      </c>
      <c r="G66" s="5">
        <f>IF(A66="","",IF(COUNTIFS(Pedidos!$B$2:$B$501,A66,Pedidos!$D$2:$D$501,"Canje cápsula")&gt;0,"Sí","No"))</f>
        <v/>
      </c>
      <c r="H66" s="5">
        <f>IF(A66="","",IF(AND(C66&gt;=Config!$B$3,G66="No"),"¡Le toca abrir la cápsula!",IF(AND(C66&gt;=Config!$B$2,F66="No"),"¡Le toca llavero con nombre!",IF(C66&lt;Config!$B$2,"Faltan "&amp;D66&amp;" para el llavero","Faltan "&amp;E66&amp;" para la cápsula"))))</f>
        <v/>
      </c>
    </row>
    <row r="67">
      <c r="A67" s="11" t="n"/>
      <c r="B67" s="5">
        <f>IF(A67="","",IFERROR(INDEX(Pedidos!$C$2:$C$501,MATCH(A67,Pedidos!$B$2:$B$501,0)),""))</f>
        <v/>
      </c>
      <c r="C67" s="5">
        <f>IF(A67="","",SUMIFS(Pedidos!$J$2:$J$501,Pedidos!$B$2:$B$501,A67))</f>
        <v/>
      </c>
      <c r="D67" s="5">
        <f>IF(A67="","",MAX(0,Config!$B$2-C67))</f>
        <v/>
      </c>
      <c r="E67" s="5">
        <f>IF(A67="","",MAX(0,Config!$B$3-C67))</f>
        <v/>
      </c>
      <c r="F67" s="5">
        <f>IF(A67="","",IF(COUNTIFS(Pedidos!$B$2:$B$501,A67,Pedidos!$D$2:$D$501,"Canje llavero")&gt;0,"Sí","No"))</f>
        <v/>
      </c>
      <c r="G67" s="5">
        <f>IF(A67="","",IF(COUNTIFS(Pedidos!$B$2:$B$501,A67,Pedidos!$D$2:$D$501,"Canje cápsula")&gt;0,"Sí","No"))</f>
        <v/>
      </c>
      <c r="H67" s="5">
        <f>IF(A67="","",IF(AND(C67&gt;=Config!$B$3,G67="No"),"¡Le toca abrir la cápsula!",IF(AND(C67&gt;=Config!$B$2,F67="No"),"¡Le toca llavero con nombre!",IF(C67&lt;Config!$B$2,"Faltan "&amp;D67&amp;" para el llavero","Faltan "&amp;E67&amp;" para la cápsula"))))</f>
        <v/>
      </c>
    </row>
    <row r="68">
      <c r="A68" s="11" t="n"/>
      <c r="B68" s="5">
        <f>IF(A68="","",IFERROR(INDEX(Pedidos!$C$2:$C$501,MATCH(A68,Pedidos!$B$2:$B$501,0)),""))</f>
        <v/>
      </c>
      <c r="C68" s="5">
        <f>IF(A68="","",SUMIFS(Pedidos!$J$2:$J$501,Pedidos!$B$2:$B$501,A68))</f>
        <v/>
      </c>
      <c r="D68" s="5">
        <f>IF(A68="","",MAX(0,Config!$B$2-C68))</f>
        <v/>
      </c>
      <c r="E68" s="5">
        <f>IF(A68="","",MAX(0,Config!$B$3-C68))</f>
        <v/>
      </c>
      <c r="F68" s="5">
        <f>IF(A68="","",IF(COUNTIFS(Pedidos!$B$2:$B$501,A68,Pedidos!$D$2:$D$501,"Canje llavero")&gt;0,"Sí","No"))</f>
        <v/>
      </c>
      <c r="G68" s="5">
        <f>IF(A68="","",IF(COUNTIFS(Pedidos!$B$2:$B$501,A68,Pedidos!$D$2:$D$501,"Canje cápsula")&gt;0,"Sí","No"))</f>
        <v/>
      </c>
      <c r="H68" s="5">
        <f>IF(A68="","",IF(AND(C68&gt;=Config!$B$3,G68="No"),"¡Le toca abrir la cápsula!",IF(AND(C68&gt;=Config!$B$2,F68="No"),"¡Le toca llavero con nombre!",IF(C68&lt;Config!$B$2,"Faltan "&amp;D68&amp;" para el llavero","Faltan "&amp;E68&amp;" para la cápsula"))))</f>
        <v/>
      </c>
    </row>
    <row r="69">
      <c r="A69" s="11" t="n"/>
      <c r="B69" s="5">
        <f>IF(A69="","",IFERROR(INDEX(Pedidos!$C$2:$C$501,MATCH(A69,Pedidos!$B$2:$B$501,0)),""))</f>
        <v/>
      </c>
      <c r="C69" s="5">
        <f>IF(A69="","",SUMIFS(Pedidos!$J$2:$J$501,Pedidos!$B$2:$B$501,A69))</f>
        <v/>
      </c>
      <c r="D69" s="5">
        <f>IF(A69="","",MAX(0,Config!$B$2-C69))</f>
        <v/>
      </c>
      <c r="E69" s="5">
        <f>IF(A69="","",MAX(0,Config!$B$3-C69))</f>
        <v/>
      </c>
      <c r="F69" s="5">
        <f>IF(A69="","",IF(COUNTIFS(Pedidos!$B$2:$B$501,A69,Pedidos!$D$2:$D$501,"Canje llavero")&gt;0,"Sí","No"))</f>
        <v/>
      </c>
      <c r="G69" s="5">
        <f>IF(A69="","",IF(COUNTIFS(Pedidos!$B$2:$B$501,A69,Pedidos!$D$2:$D$501,"Canje cápsula")&gt;0,"Sí","No"))</f>
        <v/>
      </c>
      <c r="H69" s="5">
        <f>IF(A69="","",IF(AND(C69&gt;=Config!$B$3,G69="No"),"¡Le toca abrir la cápsula!",IF(AND(C69&gt;=Config!$B$2,F69="No"),"¡Le toca llavero con nombre!",IF(C69&lt;Config!$B$2,"Faltan "&amp;D69&amp;" para el llavero","Faltan "&amp;E69&amp;" para la cápsula"))))</f>
        <v/>
      </c>
    </row>
    <row r="70">
      <c r="A70" s="11" t="n"/>
      <c r="B70" s="5">
        <f>IF(A70="","",IFERROR(INDEX(Pedidos!$C$2:$C$501,MATCH(A70,Pedidos!$B$2:$B$501,0)),""))</f>
        <v/>
      </c>
      <c r="C70" s="5">
        <f>IF(A70="","",SUMIFS(Pedidos!$J$2:$J$501,Pedidos!$B$2:$B$501,A70))</f>
        <v/>
      </c>
      <c r="D70" s="5">
        <f>IF(A70="","",MAX(0,Config!$B$2-C70))</f>
        <v/>
      </c>
      <c r="E70" s="5">
        <f>IF(A70="","",MAX(0,Config!$B$3-C70))</f>
        <v/>
      </c>
      <c r="F70" s="5">
        <f>IF(A70="","",IF(COUNTIFS(Pedidos!$B$2:$B$501,A70,Pedidos!$D$2:$D$501,"Canje llavero")&gt;0,"Sí","No"))</f>
        <v/>
      </c>
      <c r="G70" s="5">
        <f>IF(A70="","",IF(COUNTIFS(Pedidos!$B$2:$B$501,A70,Pedidos!$D$2:$D$501,"Canje cápsula")&gt;0,"Sí","No"))</f>
        <v/>
      </c>
      <c r="H70" s="5">
        <f>IF(A70="","",IF(AND(C70&gt;=Config!$B$3,G70="No"),"¡Le toca abrir la cápsula!",IF(AND(C70&gt;=Config!$B$2,F70="No"),"¡Le toca llavero con nombre!",IF(C70&lt;Config!$B$2,"Faltan "&amp;D70&amp;" para el llavero","Faltan "&amp;E70&amp;" para la cápsula"))))</f>
        <v/>
      </c>
    </row>
    <row r="71">
      <c r="A71" s="11" t="n"/>
      <c r="B71" s="5">
        <f>IF(A71="","",IFERROR(INDEX(Pedidos!$C$2:$C$501,MATCH(A71,Pedidos!$B$2:$B$501,0)),""))</f>
        <v/>
      </c>
      <c r="C71" s="5">
        <f>IF(A71="","",SUMIFS(Pedidos!$J$2:$J$501,Pedidos!$B$2:$B$501,A71))</f>
        <v/>
      </c>
      <c r="D71" s="5">
        <f>IF(A71="","",MAX(0,Config!$B$2-C71))</f>
        <v/>
      </c>
      <c r="E71" s="5">
        <f>IF(A71="","",MAX(0,Config!$B$3-C71))</f>
        <v/>
      </c>
      <c r="F71" s="5">
        <f>IF(A71="","",IF(COUNTIFS(Pedidos!$B$2:$B$501,A71,Pedidos!$D$2:$D$501,"Canje llavero")&gt;0,"Sí","No"))</f>
        <v/>
      </c>
      <c r="G71" s="5">
        <f>IF(A71="","",IF(COUNTIFS(Pedidos!$B$2:$B$501,A71,Pedidos!$D$2:$D$501,"Canje cápsula")&gt;0,"Sí","No"))</f>
        <v/>
      </c>
      <c r="H71" s="5">
        <f>IF(A71="","",IF(AND(C71&gt;=Config!$B$3,G71="No"),"¡Le toca abrir la cápsula!",IF(AND(C71&gt;=Config!$B$2,F71="No"),"¡Le toca llavero con nombre!",IF(C71&lt;Config!$B$2,"Faltan "&amp;D71&amp;" para el llavero","Faltan "&amp;E71&amp;" para la cápsula"))))</f>
        <v/>
      </c>
    </row>
    <row r="72">
      <c r="A72" s="11" t="n"/>
      <c r="B72" s="5">
        <f>IF(A72="","",IFERROR(INDEX(Pedidos!$C$2:$C$501,MATCH(A72,Pedidos!$B$2:$B$501,0)),""))</f>
        <v/>
      </c>
      <c r="C72" s="5">
        <f>IF(A72="","",SUMIFS(Pedidos!$J$2:$J$501,Pedidos!$B$2:$B$501,A72))</f>
        <v/>
      </c>
      <c r="D72" s="5">
        <f>IF(A72="","",MAX(0,Config!$B$2-C72))</f>
        <v/>
      </c>
      <c r="E72" s="5">
        <f>IF(A72="","",MAX(0,Config!$B$3-C72))</f>
        <v/>
      </c>
      <c r="F72" s="5">
        <f>IF(A72="","",IF(COUNTIFS(Pedidos!$B$2:$B$501,A72,Pedidos!$D$2:$D$501,"Canje llavero")&gt;0,"Sí","No"))</f>
        <v/>
      </c>
      <c r="G72" s="5">
        <f>IF(A72="","",IF(COUNTIFS(Pedidos!$B$2:$B$501,A72,Pedidos!$D$2:$D$501,"Canje cápsula")&gt;0,"Sí","No"))</f>
        <v/>
      </c>
      <c r="H72" s="5">
        <f>IF(A72="","",IF(AND(C72&gt;=Config!$B$3,G72="No"),"¡Le toca abrir la cápsula!",IF(AND(C72&gt;=Config!$B$2,F72="No"),"¡Le toca llavero con nombre!",IF(C72&lt;Config!$B$2,"Faltan "&amp;D72&amp;" para el llavero","Faltan "&amp;E72&amp;" para la cápsula"))))</f>
        <v/>
      </c>
    </row>
    <row r="73">
      <c r="A73" s="11" t="n"/>
      <c r="B73" s="5">
        <f>IF(A73="","",IFERROR(INDEX(Pedidos!$C$2:$C$501,MATCH(A73,Pedidos!$B$2:$B$501,0)),""))</f>
        <v/>
      </c>
      <c r="C73" s="5">
        <f>IF(A73="","",SUMIFS(Pedidos!$J$2:$J$501,Pedidos!$B$2:$B$501,A73))</f>
        <v/>
      </c>
      <c r="D73" s="5">
        <f>IF(A73="","",MAX(0,Config!$B$2-C73))</f>
        <v/>
      </c>
      <c r="E73" s="5">
        <f>IF(A73="","",MAX(0,Config!$B$3-C73))</f>
        <v/>
      </c>
      <c r="F73" s="5">
        <f>IF(A73="","",IF(COUNTIFS(Pedidos!$B$2:$B$501,A73,Pedidos!$D$2:$D$501,"Canje llavero")&gt;0,"Sí","No"))</f>
        <v/>
      </c>
      <c r="G73" s="5">
        <f>IF(A73="","",IF(COUNTIFS(Pedidos!$B$2:$B$501,A73,Pedidos!$D$2:$D$501,"Canje cápsula")&gt;0,"Sí","No"))</f>
        <v/>
      </c>
      <c r="H73" s="5">
        <f>IF(A73="","",IF(AND(C73&gt;=Config!$B$3,G73="No"),"¡Le toca abrir la cápsula!",IF(AND(C73&gt;=Config!$B$2,F73="No"),"¡Le toca llavero con nombre!",IF(C73&lt;Config!$B$2,"Faltan "&amp;D73&amp;" para el llavero","Faltan "&amp;E73&amp;" para la cápsula"))))</f>
        <v/>
      </c>
    </row>
    <row r="74">
      <c r="A74" s="11" t="n"/>
      <c r="B74" s="5">
        <f>IF(A74="","",IFERROR(INDEX(Pedidos!$C$2:$C$501,MATCH(A74,Pedidos!$B$2:$B$501,0)),""))</f>
        <v/>
      </c>
      <c r="C74" s="5">
        <f>IF(A74="","",SUMIFS(Pedidos!$J$2:$J$501,Pedidos!$B$2:$B$501,A74))</f>
        <v/>
      </c>
      <c r="D74" s="5">
        <f>IF(A74="","",MAX(0,Config!$B$2-C74))</f>
        <v/>
      </c>
      <c r="E74" s="5">
        <f>IF(A74="","",MAX(0,Config!$B$3-C74))</f>
        <v/>
      </c>
      <c r="F74" s="5">
        <f>IF(A74="","",IF(COUNTIFS(Pedidos!$B$2:$B$501,A74,Pedidos!$D$2:$D$501,"Canje llavero")&gt;0,"Sí","No"))</f>
        <v/>
      </c>
      <c r="G74" s="5">
        <f>IF(A74="","",IF(COUNTIFS(Pedidos!$B$2:$B$501,A74,Pedidos!$D$2:$D$501,"Canje cápsula")&gt;0,"Sí","No"))</f>
        <v/>
      </c>
      <c r="H74" s="5">
        <f>IF(A74="","",IF(AND(C74&gt;=Config!$B$3,G74="No"),"¡Le toca abrir la cápsula!",IF(AND(C74&gt;=Config!$B$2,F74="No"),"¡Le toca llavero con nombre!",IF(C74&lt;Config!$B$2,"Faltan "&amp;D74&amp;" para el llavero","Faltan "&amp;E74&amp;" para la cápsula"))))</f>
        <v/>
      </c>
    </row>
    <row r="75">
      <c r="A75" s="11" t="n"/>
      <c r="B75" s="5">
        <f>IF(A75="","",IFERROR(INDEX(Pedidos!$C$2:$C$501,MATCH(A75,Pedidos!$B$2:$B$501,0)),""))</f>
        <v/>
      </c>
      <c r="C75" s="5">
        <f>IF(A75="","",SUMIFS(Pedidos!$J$2:$J$501,Pedidos!$B$2:$B$501,A75))</f>
        <v/>
      </c>
      <c r="D75" s="5">
        <f>IF(A75="","",MAX(0,Config!$B$2-C75))</f>
        <v/>
      </c>
      <c r="E75" s="5">
        <f>IF(A75="","",MAX(0,Config!$B$3-C75))</f>
        <v/>
      </c>
      <c r="F75" s="5">
        <f>IF(A75="","",IF(COUNTIFS(Pedidos!$B$2:$B$501,A75,Pedidos!$D$2:$D$501,"Canje llavero")&gt;0,"Sí","No"))</f>
        <v/>
      </c>
      <c r="G75" s="5">
        <f>IF(A75="","",IF(COUNTIFS(Pedidos!$B$2:$B$501,A75,Pedidos!$D$2:$D$501,"Canje cápsula")&gt;0,"Sí","No"))</f>
        <v/>
      </c>
      <c r="H75" s="5">
        <f>IF(A75="","",IF(AND(C75&gt;=Config!$B$3,G75="No"),"¡Le toca abrir la cápsula!",IF(AND(C75&gt;=Config!$B$2,F75="No"),"¡Le toca llavero con nombre!",IF(C75&lt;Config!$B$2,"Faltan "&amp;D75&amp;" para el llavero","Faltan "&amp;E75&amp;" para la cápsula"))))</f>
        <v/>
      </c>
    </row>
    <row r="76">
      <c r="A76" s="11" t="n"/>
      <c r="B76" s="5">
        <f>IF(A76="","",IFERROR(INDEX(Pedidos!$C$2:$C$501,MATCH(A76,Pedidos!$B$2:$B$501,0)),""))</f>
        <v/>
      </c>
      <c r="C76" s="5">
        <f>IF(A76="","",SUMIFS(Pedidos!$J$2:$J$501,Pedidos!$B$2:$B$501,A76))</f>
        <v/>
      </c>
      <c r="D76" s="5">
        <f>IF(A76="","",MAX(0,Config!$B$2-C76))</f>
        <v/>
      </c>
      <c r="E76" s="5">
        <f>IF(A76="","",MAX(0,Config!$B$3-C76))</f>
        <v/>
      </c>
      <c r="F76" s="5">
        <f>IF(A76="","",IF(COUNTIFS(Pedidos!$B$2:$B$501,A76,Pedidos!$D$2:$D$501,"Canje llavero")&gt;0,"Sí","No"))</f>
        <v/>
      </c>
      <c r="G76" s="5">
        <f>IF(A76="","",IF(COUNTIFS(Pedidos!$B$2:$B$501,A76,Pedidos!$D$2:$D$501,"Canje cápsula")&gt;0,"Sí","No"))</f>
        <v/>
      </c>
      <c r="H76" s="5">
        <f>IF(A76="","",IF(AND(C76&gt;=Config!$B$3,G76="No"),"¡Le toca abrir la cápsula!",IF(AND(C76&gt;=Config!$B$2,F76="No"),"¡Le toca llavero con nombre!",IF(C76&lt;Config!$B$2,"Faltan "&amp;D76&amp;" para el llavero","Faltan "&amp;E76&amp;" para la cápsula"))))</f>
        <v/>
      </c>
    </row>
    <row r="77">
      <c r="A77" s="11" t="n"/>
      <c r="B77" s="5">
        <f>IF(A77="","",IFERROR(INDEX(Pedidos!$C$2:$C$501,MATCH(A77,Pedidos!$B$2:$B$501,0)),""))</f>
        <v/>
      </c>
      <c r="C77" s="5">
        <f>IF(A77="","",SUMIFS(Pedidos!$J$2:$J$501,Pedidos!$B$2:$B$501,A77))</f>
        <v/>
      </c>
      <c r="D77" s="5">
        <f>IF(A77="","",MAX(0,Config!$B$2-C77))</f>
        <v/>
      </c>
      <c r="E77" s="5">
        <f>IF(A77="","",MAX(0,Config!$B$3-C77))</f>
        <v/>
      </c>
      <c r="F77" s="5">
        <f>IF(A77="","",IF(COUNTIFS(Pedidos!$B$2:$B$501,A77,Pedidos!$D$2:$D$501,"Canje llavero")&gt;0,"Sí","No"))</f>
        <v/>
      </c>
      <c r="G77" s="5">
        <f>IF(A77="","",IF(COUNTIFS(Pedidos!$B$2:$B$501,A77,Pedidos!$D$2:$D$501,"Canje cápsula")&gt;0,"Sí","No"))</f>
        <v/>
      </c>
      <c r="H77" s="5">
        <f>IF(A77="","",IF(AND(C77&gt;=Config!$B$3,G77="No"),"¡Le toca abrir la cápsula!",IF(AND(C77&gt;=Config!$B$2,F77="No"),"¡Le toca llavero con nombre!",IF(C77&lt;Config!$B$2,"Faltan "&amp;D77&amp;" para el llavero","Faltan "&amp;E77&amp;" para la cápsula"))))</f>
        <v/>
      </c>
    </row>
    <row r="78">
      <c r="A78" s="11" t="n"/>
      <c r="B78" s="5">
        <f>IF(A78="","",IFERROR(INDEX(Pedidos!$C$2:$C$501,MATCH(A78,Pedidos!$B$2:$B$501,0)),""))</f>
        <v/>
      </c>
      <c r="C78" s="5">
        <f>IF(A78="","",SUMIFS(Pedidos!$J$2:$J$501,Pedidos!$B$2:$B$501,A78))</f>
        <v/>
      </c>
      <c r="D78" s="5">
        <f>IF(A78="","",MAX(0,Config!$B$2-C78))</f>
        <v/>
      </c>
      <c r="E78" s="5">
        <f>IF(A78="","",MAX(0,Config!$B$3-C78))</f>
        <v/>
      </c>
      <c r="F78" s="5">
        <f>IF(A78="","",IF(COUNTIFS(Pedidos!$B$2:$B$501,A78,Pedidos!$D$2:$D$501,"Canje llavero")&gt;0,"Sí","No"))</f>
        <v/>
      </c>
      <c r="G78" s="5">
        <f>IF(A78="","",IF(COUNTIFS(Pedidos!$B$2:$B$501,A78,Pedidos!$D$2:$D$501,"Canje cápsula")&gt;0,"Sí","No"))</f>
        <v/>
      </c>
      <c r="H78" s="5">
        <f>IF(A78="","",IF(AND(C78&gt;=Config!$B$3,G78="No"),"¡Le toca abrir la cápsula!",IF(AND(C78&gt;=Config!$B$2,F78="No"),"¡Le toca llavero con nombre!",IF(C78&lt;Config!$B$2,"Faltan "&amp;D78&amp;" para el llavero","Faltan "&amp;E78&amp;" para la cápsula"))))</f>
        <v/>
      </c>
    </row>
    <row r="79">
      <c r="A79" s="11" t="n"/>
      <c r="B79" s="5">
        <f>IF(A79="","",IFERROR(INDEX(Pedidos!$C$2:$C$501,MATCH(A79,Pedidos!$B$2:$B$501,0)),""))</f>
        <v/>
      </c>
      <c r="C79" s="5">
        <f>IF(A79="","",SUMIFS(Pedidos!$J$2:$J$501,Pedidos!$B$2:$B$501,A79))</f>
        <v/>
      </c>
      <c r="D79" s="5">
        <f>IF(A79="","",MAX(0,Config!$B$2-C79))</f>
        <v/>
      </c>
      <c r="E79" s="5">
        <f>IF(A79="","",MAX(0,Config!$B$3-C79))</f>
        <v/>
      </c>
      <c r="F79" s="5">
        <f>IF(A79="","",IF(COUNTIFS(Pedidos!$B$2:$B$501,A79,Pedidos!$D$2:$D$501,"Canje llavero")&gt;0,"Sí","No"))</f>
        <v/>
      </c>
      <c r="G79" s="5">
        <f>IF(A79="","",IF(COUNTIFS(Pedidos!$B$2:$B$501,A79,Pedidos!$D$2:$D$501,"Canje cápsula")&gt;0,"Sí","No"))</f>
        <v/>
      </c>
      <c r="H79" s="5">
        <f>IF(A79="","",IF(AND(C79&gt;=Config!$B$3,G79="No"),"¡Le toca abrir la cápsula!",IF(AND(C79&gt;=Config!$B$2,F79="No"),"¡Le toca llavero con nombre!",IF(C79&lt;Config!$B$2,"Faltan "&amp;D79&amp;" para el llavero","Faltan "&amp;E79&amp;" para la cápsula"))))</f>
        <v/>
      </c>
    </row>
    <row r="80">
      <c r="A80" s="11" t="n"/>
      <c r="B80" s="5">
        <f>IF(A80="","",IFERROR(INDEX(Pedidos!$C$2:$C$501,MATCH(A80,Pedidos!$B$2:$B$501,0)),""))</f>
        <v/>
      </c>
      <c r="C80" s="5">
        <f>IF(A80="","",SUMIFS(Pedidos!$J$2:$J$501,Pedidos!$B$2:$B$501,A80))</f>
        <v/>
      </c>
      <c r="D80" s="5">
        <f>IF(A80="","",MAX(0,Config!$B$2-C80))</f>
        <v/>
      </c>
      <c r="E80" s="5">
        <f>IF(A80="","",MAX(0,Config!$B$3-C80))</f>
        <v/>
      </c>
      <c r="F80" s="5">
        <f>IF(A80="","",IF(COUNTIFS(Pedidos!$B$2:$B$501,A80,Pedidos!$D$2:$D$501,"Canje llavero")&gt;0,"Sí","No"))</f>
        <v/>
      </c>
      <c r="G80" s="5">
        <f>IF(A80="","",IF(COUNTIFS(Pedidos!$B$2:$B$501,A80,Pedidos!$D$2:$D$501,"Canje cápsula")&gt;0,"Sí","No"))</f>
        <v/>
      </c>
      <c r="H80" s="5">
        <f>IF(A80="","",IF(AND(C80&gt;=Config!$B$3,G80="No"),"¡Le toca abrir la cápsula!",IF(AND(C80&gt;=Config!$B$2,F80="No"),"¡Le toca llavero con nombre!",IF(C80&lt;Config!$B$2,"Faltan "&amp;D80&amp;" para el llavero","Faltan "&amp;E80&amp;" para la cápsula"))))</f>
        <v/>
      </c>
    </row>
    <row r="81">
      <c r="A81" s="11" t="n"/>
      <c r="B81" s="5">
        <f>IF(A81="","",IFERROR(INDEX(Pedidos!$C$2:$C$501,MATCH(A81,Pedidos!$B$2:$B$501,0)),""))</f>
        <v/>
      </c>
      <c r="C81" s="5">
        <f>IF(A81="","",SUMIFS(Pedidos!$J$2:$J$501,Pedidos!$B$2:$B$501,A81))</f>
        <v/>
      </c>
      <c r="D81" s="5">
        <f>IF(A81="","",MAX(0,Config!$B$2-C81))</f>
        <v/>
      </c>
      <c r="E81" s="5">
        <f>IF(A81="","",MAX(0,Config!$B$3-C81))</f>
        <v/>
      </c>
      <c r="F81" s="5">
        <f>IF(A81="","",IF(COUNTIFS(Pedidos!$B$2:$B$501,A81,Pedidos!$D$2:$D$501,"Canje llavero")&gt;0,"Sí","No"))</f>
        <v/>
      </c>
      <c r="G81" s="5">
        <f>IF(A81="","",IF(COUNTIFS(Pedidos!$B$2:$B$501,A81,Pedidos!$D$2:$D$501,"Canje cápsula")&gt;0,"Sí","No"))</f>
        <v/>
      </c>
      <c r="H81" s="5">
        <f>IF(A81="","",IF(AND(C81&gt;=Config!$B$3,G81="No"),"¡Le toca abrir la cápsula!",IF(AND(C81&gt;=Config!$B$2,F81="No"),"¡Le toca llavero con nombre!",IF(C81&lt;Config!$B$2,"Faltan "&amp;D81&amp;" para el llavero","Faltan "&amp;E81&amp;" para la cápsula"))))</f>
        <v/>
      </c>
    </row>
    <row r="82">
      <c r="A82" s="11" t="n"/>
      <c r="B82" s="5">
        <f>IF(A82="","",IFERROR(INDEX(Pedidos!$C$2:$C$501,MATCH(A82,Pedidos!$B$2:$B$501,0)),""))</f>
        <v/>
      </c>
      <c r="C82" s="5">
        <f>IF(A82="","",SUMIFS(Pedidos!$J$2:$J$501,Pedidos!$B$2:$B$501,A82))</f>
        <v/>
      </c>
      <c r="D82" s="5">
        <f>IF(A82="","",MAX(0,Config!$B$2-C82))</f>
        <v/>
      </c>
      <c r="E82" s="5">
        <f>IF(A82="","",MAX(0,Config!$B$3-C82))</f>
        <v/>
      </c>
      <c r="F82" s="5">
        <f>IF(A82="","",IF(COUNTIFS(Pedidos!$B$2:$B$501,A82,Pedidos!$D$2:$D$501,"Canje llavero")&gt;0,"Sí","No"))</f>
        <v/>
      </c>
      <c r="G82" s="5">
        <f>IF(A82="","",IF(COUNTIFS(Pedidos!$B$2:$B$501,A82,Pedidos!$D$2:$D$501,"Canje cápsula")&gt;0,"Sí","No"))</f>
        <v/>
      </c>
      <c r="H82" s="5">
        <f>IF(A82="","",IF(AND(C82&gt;=Config!$B$3,G82="No"),"¡Le toca abrir la cápsula!",IF(AND(C82&gt;=Config!$B$2,F82="No"),"¡Le toca llavero con nombre!",IF(C82&lt;Config!$B$2,"Faltan "&amp;D82&amp;" para el llavero","Faltan "&amp;E82&amp;" para la cápsula"))))</f>
        <v/>
      </c>
    </row>
    <row r="83">
      <c r="A83" s="11" t="n"/>
      <c r="B83" s="5">
        <f>IF(A83="","",IFERROR(INDEX(Pedidos!$C$2:$C$501,MATCH(A83,Pedidos!$B$2:$B$501,0)),""))</f>
        <v/>
      </c>
      <c r="C83" s="5">
        <f>IF(A83="","",SUMIFS(Pedidos!$J$2:$J$501,Pedidos!$B$2:$B$501,A83))</f>
        <v/>
      </c>
      <c r="D83" s="5">
        <f>IF(A83="","",MAX(0,Config!$B$2-C83))</f>
        <v/>
      </c>
      <c r="E83" s="5">
        <f>IF(A83="","",MAX(0,Config!$B$3-C83))</f>
        <v/>
      </c>
      <c r="F83" s="5">
        <f>IF(A83="","",IF(COUNTIFS(Pedidos!$B$2:$B$501,A83,Pedidos!$D$2:$D$501,"Canje llavero")&gt;0,"Sí","No"))</f>
        <v/>
      </c>
      <c r="G83" s="5">
        <f>IF(A83="","",IF(COUNTIFS(Pedidos!$B$2:$B$501,A83,Pedidos!$D$2:$D$501,"Canje cápsula")&gt;0,"Sí","No"))</f>
        <v/>
      </c>
      <c r="H83" s="5">
        <f>IF(A83="","",IF(AND(C83&gt;=Config!$B$3,G83="No"),"¡Le toca abrir la cápsula!",IF(AND(C83&gt;=Config!$B$2,F83="No"),"¡Le toca llavero con nombre!",IF(C83&lt;Config!$B$2,"Faltan "&amp;D83&amp;" para el llavero","Faltan "&amp;E83&amp;" para la cápsula"))))</f>
        <v/>
      </c>
    </row>
    <row r="84">
      <c r="A84" s="11" t="n"/>
      <c r="B84" s="5">
        <f>IF(A84="","",IFERROR(INDEX(Pedidos!$C$2:$C$501,MATCH(A84,Pedidos!$B$2:$B$501,0)),""))</f>
        <v/>
      </c>
      <c r="C84" s="5">
        <f>IF(A84="","",SUMIFS(Pedidos!$J$2:$J$501,Pedidos!$B$2:$B$501,A84))</f>
        <v/>
      </c>
      <c r="D84" s="5">
        <f>IF(A84="","",MAX(0,Config!$B$2-C84))</f>
        <v/>
      </c>
      <c r="E84" s="5">
        <f>IF(A84="","",MAX(0,Config!$B$3-C84))</f>
        <v/>
      </c>
      <c r="F84" s="5">
        <f>IF(A84="","",IF(COUNTIFS(Pedidos!$B$2:$B$501,A84,Pedidos!$D$2:$D$501,"Canje llavero")&gt;0,"Sí","No"))</f>
        <v/>
      </c>
      <c r="G84" s="5">
        <f>IF(A84="","",IF(COUNTIFS(Pedidos!$B$2:$B$501,A84,Pedidos!$D$2:$D$501,"Canje cápsula")&gt;0,"Sí","No"))</f>
        <v/>
      </c>
      <c r="H84" s="5">
        <f>IF(A84="","",IF(AND(C84&gt;=Config!$B$3,G84="No"),"¡Le toca abrir la cápsula!",IF(AND(C84&gt;=Config!$B$2,F84="No"),"¡Le toca llavero con nombre!",IF(C84&lt;Config!$B$2,"Faltan "&amp;D84&amp;" para el llavero","Faltan "&amp;E84&amp;" para la cápsula"))))</f>
        <v/>
      </c>
    </row>
    <row r="85">
      <c r="A85" s="11" t="n"/>
      <c r="B85" s="5">
        <f>IF(A85="","",IFERROR(INDEX(Pedidos!$C$2:$C$501,MATCH(A85,Pedidos!$B$2:$B$501,0)),""))</f>
        <v/>
      </c>
      <c r="C85" s="5">
        <f>IF(A85="","",SUMIFS(Pedidos!$J$2:$J$501,Pedidos!$B$2:$B$501,A85))</f>
        <v/>
      </c>
      <c r="D85" s="5">
        <f>IF(A85="","",MAX(0,Config!$B$2-C85))</f>
        <v/>
      </c>
      <c r="E85" s="5">
        <f>IF(A85="","",MAX(0,Config!$B$3-C85))</f>
        <v/>
      </c>
      <c r="F85" s="5">
        <f>IF(A85="","",IF(COUNTIFS(Pedidos!$B$2:$B$501,A85,Pedidos!$D$2:$D$501,"Canje llavero")&gt;0,"Sí","No"))</f>
        <v/>
      </c>
      <c r="G85" s="5">
        <f>IF(A85="","",IF(COUNTIFS(Pedidos!$B$2:$B$501,A85,Pedidos!$D$2:$D$501,"Canje cápsula")&gt;0,"Sí","No"))</f>
        <v/>
      </c>
      <c r="H85" s="5">
        <f>IF(A85="","",IF(AND(C85&gt;=Config!$B$3,G85="No"),"¡Le toca abrir la cápsula!",IF(AND(C85&gt;=Config!$B$2,F85="No"),"¡Le toca llavero con nombre!",IF(C85&lt;Config!$B$2,"Faltan "&amp;D85&amp;" para el llavero","Faltan "&amp;E85&amp;" para la cápsula"))))</f>
        <v/>
      </c>
    </row>
    <row r="86">
      <c r="A86" s="11" t="n"/>
      <c r="B86" s="5">
        <f>IF(A86="","",IFERROR(INDEX(Pedidos!$C$2:$C$501,MATCH(A86,Pedidos!$B$2:$B$501,0)),""))</f>
        <v/>
      </c>
      <c r="C86" s="5">
        <f>IF(A86="","",SUMIFS(Pedidos!$J$2:$J$501,Pedidos!$B$2:$B$501,A86))</f>
        <v/>
      </c>
      <c r="D86" s="5">
        <f>IF(A86="","",MAX(0,Config!$B$2-C86))</f>
        <v/>
      </c>
      <c r="E86" s="5">
        <f>IF(A86="","",MAX(0,Config!$B$3-C86))</f>
        <v/>
      </c>
      <c r="F86" s="5">
        <f>IF(A86="","",IF(COUNTIFS(Pedidos!$B$2:$B$501,A86,Pedidos!$D$2:$D$501,"Canje llavero")&gt;0,"Sí","No"))</f>
        <v/>
      </c>
      <c r="G86" s="5">
        <f>IF(A86="","",IF(COUNTIFS(Pedidos!$B$2:$B$501,A86,Pedidos!$D$2:$D$501,"Canje cápsula")&gt;0,"Sí","No"))</f>
        <v/>
      </c>
      <c r="H86" s="5">
        <f>IF(A86="","",IF(AND(C86&gt;=Config!$B$3,G86="No"),"¡Le toca abrir la cápsula!",IF(AND(C86&gt;=Config!$B$2,F86="No"),"¡Le toca llavero con nombre!",IF(C86&lt;Config!$B$2,"Faltan "&amp;D86&amp;" para el llavero","Faltan "&amp;E86&amp;" para la cápsula"))))</f>
        <v/>
      </c>
    </row>
    <row r="87">
      <c r="A87" s="11" t="n"/>
      <c r="B87" s="5">
        <f>IF(A87="","",IFERROR(INDEX(Pedidos!$C$2:$C$501,MATCH(A87,Pedidos!$B$2:$B$501,0)),""))</f>
        <v/>
      </c>
      <c r="C87" s="5">
        <f>IF(A87="","",SUMIFS(Pedidos!$J$2:$J$501,Pedidos!$B$2:$B$501,A87))</f>
        <v/>
      </c>
      <c r="D87" s="5">
        <f>IF(A87="","",MAX(0,Config!$B$2-C87))</f>
        <v/>
      </c>
      <c r="E87" s="5">
        <f>IF(A87="","",MAX(0,Config!$B$3-C87))</f>
        <v/>
      </c>
      <c r="F87" s="5">
        <f>IF(A87="","",IF(COUNTIFS(Pedidos!$B$2:$B$501,A87,Pedidos!$D$2:$D$501,"Canje llavero")&gt;0,"Sí","No"))</f>
        <v/>
      </c>
      <c r="G87" s="5">
        <f>IF(A87="","",IF(COUNTIFS(Pedidos!$B$2:$B$501,A87,Pedidos!$D$2:$D$501,"Canje cápsula")&gt;0,"Sí","No"))</f>
        <v/>
      </c>
      <c r="H87" s="5">
        <f>IF(A87="","",IF(AND(C87&gt;=Config!$B$3,G87="No"),"¡Le toca abrir la cápsula!",IF(AND(C87&gt;=Config!$B$2,F87="No"),"¡Le toca llavero con nombre!",IF(C87&lt;Config!$B$2,"Faltan "&amp;D87&amp;" para el llavero","Faltan "&amp;E87&amp;" para la cápsula"))))</f>
        <v/>
      </c>
    </row>
    <row r="88">
      <c r="A88" s="11" t="n"/>
      <c r="B88" s="5">
        <f>IF(A88="","",IFERROR(INDEX(Pedidos!$C$2:$C$501,MATCH(A88,Pedidos!$B$2:$B$501,0)),""))</f>
        <v/>
      </c>
      <c r="C88" s="5">
        <f>IF(A88="","",SUMIFS(Pedidos!$J$2:$J$501,Pedidos!$B$2:$B$501,A88))</f>
        <v/>
      </c>
      <c r="D88" s="5">
        <f>IF(A88="","",MAX(0,Config!$B$2-C88))</f>
        <v/>
      </c>
      <c r="E88" s="5">
        <f>IF(A88="","",MAX(0,Config!$B$3-C88))</f>
        <v/>
      </c>
      <c r="F88" s="5">
        <f>IF(A88="","",IF(COUNTIFS(Pedidos!$B$2:$B$501,A88,Pedidos!$D$2:$D$501,"Canje llavero")&gt;0,"Sí","No"))</f>
        <v/>
      </c>
      <c r="G88" s="5">
        <f>IF(A88="","",IF(COUNTIFS(Pedidos!$B$2:$B$501,A88,Pedidos!$D$2:$D$501,"Canje cápsula")&gt;0,"Sí","No"))</f>
        <v/>
      </c>
      <c r="H88" s="5">
        <f>IF(A88="","",IF(AND(C88&gt;=Config!$B$3,G88="No"),"¡Le toca abrir la cápsula!",IF(AND(C88&gt;=Config!$B$2,F88="No"),"¡Le toca llavero con nombre!",IF(C88&lt;Config!$B$2,"Faltan "&amp;D88&amp;" para el llavero","Faltan "&amp;E88&amp;" para la cápsula"))))</f>
        <v/>
      </c>
    </row>
    <row r="89">
      <c r="A89" s="11" t="n"/>
      <c r="B89" s="5">
        <f>IF(A89="","",IFERROR(INDEX(Pedidos!$C$2:$C$501,MATCH(A89,Pedidos!$B$2:$B$501,0)),""))</f>
        <v/>
      </c>
      <c r="C89" s="5">
        <f>IF(A89="","",SUMIFS(Pedidos!$J$2:$J$501,Pedidos!$B$2:$B$501,A89))</f>
        <v/>
      </c>
      <c r="D89" s="5">
        <f>IF(A89="","",MAX(0,Config!$B$2-C89))</f>
        <v/>
      </c>
      <c r="E89" s="5">
        <f>IF(A89="","",MAX(0,Config!$B$3-C89))</f>
        <v/>
      </c>
      <c r="F89" s="5">
        <f>IF(A89="","",IF(COUNTIFS(Pedidos!$B$2:$B$501,A89,Pedidos!$D$2:$D$501,"Canje llavero")&gt;0,"Sí","No"))</f>
        <v/>
      </c>
      <c r="G89" s="5">
        <f>IF(A89="","",IF(COUNTIFS(Pedidos!$B$2:$B$501,A89,Pedidos!$D$2:$D$501,"Canje cápsula")&gt;0,"Sí","No"))</f>
        <v/>
      </c>
      <c r="H89" s="5">
        <f>IF(A89="","",IF(AND(C89&gt;=Config!$B$3,G89="No"),"¡Le toca abrir la cápsula!",IF(AND(C89&gt;=Config!$B$2,F89="No"),"¡Le toca llavero con nombre!",IF(C89&lt;Config!$B$2,"Faltan "&amp;D89&amp;" para el llavero","Faltan "&amp;E89&amp;" para la cápsula"))))</f>
        <v/>
      </c>
    </row>
    <row r="90">
      <c r="A90" s="11" t="n"/>
      <c r="B90" s="5">
        <f>IF(A90="","",IFERROR(INDEX(Pedidos!$C$2:$C$501,MATCH(A90,Pedidos!$B$2:$B$501,0)),""))</f>
        <v/>
      </c>
      <c r="C90" s="5">
        <f>IF(A90="","",SUMIFS(Pedidos!$J$2:$J$501,Pedidos!$B$2:$B$501,A90))</f>
        <v/>
      </c>
      <c r="D90" s="5">
        <f>IF(A90="","",MAX(0,Config!$B$2-C90))</f>
        <v/>
      </c>
      <c r="E90" s="5">
        <f>IF(A90="","",MAX(0,Config!$B$3-C90))</f>
        <v/>
      </c>
      <c r="F90" s="5">
        <f>IF(A90="","",IF(COUNTIFS(Pedidos!$B$2:$B$501,A90,Pedidos!$D$2:$D$501,"Canje llavero")&gt;0,"Sí","No"))</f>
        <v/>
      </c>
      <c r="G90" s="5">
        <f>IF(A90="","",IF(COUNTIFS(Pedidos!$B$2:$B$501,A90,Pedidos!$D$2:$D$501,"Canje cápsula")&gt;0,"Sí","No"))</f>
        <v/>
      </c>
      <c r="H90" s="5">
        <f>IF(A90="","",IF(AND(C90&gt;=Config!$B$3,G90="No"),"¡Le toca abrir la cápsula!",IF(AND(C90&gt;=Config!$B$2,F90="No"),"¡Le toca llavero con nombre!",IF(C90&lt;Config!$B$2,"Faltan "&amp;D90&amp;" para el llavero","Faltan "&amp;E90&amp;" para la cápsula"))))</f>
        <v/>
      </c>
    </row>
    <row r="91">
      <c r="A91" s="11" t="n"/>
      <c r="B91" s="5">
        <f>IF(A91="","",IFERROR(INDEX(Pedidos!$C$2:$C$501,MATCH(A91,Pedidos!$B$2:$B$501,0)),""))</f>
        <v/>
      </c>
      <c r="C91" s="5">
        <f>IF(A91="","",SUMIFS(Pedidos!$J$2:$J$501,Pedidos!$B$2:$B$501,A91))</f>
        <v/>
      </c>
      <c r="D91" s="5">
        <f>IF(A91="","",MAX(0,Config!$B$2-C91))</f>
        <v/>
      </c>
      <c r="E91" s="5">
        <f>IF(A91="","",MAX(0,Config!$B$3-C91))</f>
        <v/>
      </c>
      <c r="F91" s="5">
        <f>IF(A91="","",IF(COUNTIFS(Pedidos!$B$2:$B$501,A91,Pedidos!$D$2:$D$501,"Canje llavero")&gt;0,"Sí","No"))</f>
        <v/>
      </c>
      <c r="G91" s="5">
        <f>IF(A91="","",IF(COUNTIFS(Pedidos!$B$2:$B$501,A91,Pedidos!$D$2:$D$501,"Canje cápsula")&gt;0,"Sí","No"))</f>
        <v/>
      </c>
      <c r="H91" s="5">
        <f>IF(A91="","",IF(AND(C91&gt;=Config!$B$3,G91="No"),"¡Le toca abrir la cápsula!",IF(AND(C91&gt;=Config!$B$2,F91="No"),"¡Le toca llavero con nombre!",IF(C91&lt;Config!$B$2,"Faltan "&amp;D91&amp;" para el llavero","Faltan "&amp;E91&amp;" para la cápsula"))))</f>
        <v/>
      </c>
    </row>
    <row r="92">
      <c r="A92" s="11" t="n"/>
      <c r="B92" s="5">
        <f>IF(A92="","",IFERROR(INDEX(Pedidos!$C$2:$C$501,MATCH(A92,Pedidos!$B$2:$B$501,0)),""))</f>
        <v/>
      </c>
      <c r="C92" s="5">
        <f>IF(A92="","",SUMIFS(Pedidos!$J$2:$J$501,Pedidos!$B$2:$B$501,A92))</f>
        <v/>
      </c>
      <c r="D92" s="5">
        <f>IF(A92="","",MAX(0,Config!$B$2-C92))</f>
        <v/>
      </c>
      <c r="E92" s="5">
        <f>IF(A92="","",MAX(0,Config!$B$3-C92))</f>
        <v/>
      </c>
      <c r="F92" s="5">
        <f>IF(A92="","",IF(COUNTIFS(Pedidos!$B$2:$B$501,A92,Pedidos!$D$2:$D$501,"Canje llavero")&gt;0,"Sí","No"))</f>
        <v/>
      </c>
      <c r="G92" s="5">
        <f>IF(A92="","",IF(COUNTIFS(Pedidos!$B$2:$B$501,A92,Pedidos!$D$2:$D$501,"Canje cápsula")&gt;0,"Sí","No"))</f>
        <v/>
      </c>
      <c r="H92" s="5">
        <f>IF(A92="","",IF(AND(C92&gt;=Config!$B$3,G92="No"),"¡Le toca abrir la cápsula!",IF(AND(C92&gt;=Config!$B$2,F92="No"),"¡Le toca llavero con nombre!",IF(C92&lt;Config!$B$2,"Faltan "&amp;D92&amp;" para el llavero","Faltan "&amp;E92&amp;" para la cápsula"))))</f>
        <v/>
      </c>
    </row>
    <row r="93">
      <c r="A93" s="11" t="n"/>
      <c r="B93" s="5">
        <f>IF(A93="","",IFERROR(INDEX(Pedidos!$C$2:$C$501,MATCH(A93,Pedidos!$B$2:$B$501,0)),""))</f>
        <v/>
      </c>
      <c r="C93" s="5">
        <f>IF(A93="","",SUMIFS(Pedidos!$J$2:$J$501,Pedidos!$B$2:$B$501,A93))</f>
        <v/>
      </c>
      <c r="D93" s="5">
        <f>IF(A93="","",MAX(0,Config!$B$2-C93))</f>
        <v/>
      </c>
      <c r="E93" s="5">
        <f>IF(A93="","",MAX(0,Config!$B$3-C93))</f>
        <v/>
      </c>
      <c r="F93" s="5">
        <f>IF(A93="","",IF(COUNTIFS(Pedidos!$B$2:$B$501,A93,Pedidos!$D$2:$D$501,"Canje llavero")&gt;0,"Sí","No"))</f>
        <v/>
      </c>
      <c r="G93" s="5">
        <f>IF(A93="","",IF(COUNTIFS(Pedidos!$B$2:$B$501,A93,Pedidos!$D$2:$D$501,"Canje cápsula")&gt;0,"Sí","No"))</f>
        <v/>
      </c>
      <c r="H93" s="5">
        <f>IF(A93="","",IF(AND(C93&gt;=Config!$B$3,G93="No"),"¡Le toca abrir la cápsula!",IF(AND(C93&gt;=Config!$B$2,F93="No"),"¡Le toca llavero con nombre!",IF(C93&lt;Config!$B$2,"Faltan "&amp;D93&amp;" para el llavero","Faltan "&amp;E93&amp;" para la cápsula"))))</f>
        <v/>
      </c>
    </row>
    <row r="94">
      <c r="A94" s="11" t="n"/>
      <c r="B94" s="5">
        <f>IF(A94="","",IFERROR(INDEX(Pedidos!$C$2:$C$501,MATCH(A94,Pedidos!$B$2:$B$501,0)),""))</f>
        <v/>
      </c>
      <c r="C94" s="5">
        <f>IF(A94="","",SUMIFS(Pedidos!$J$2:$J$501,Pedidos!$B$2:$B$501,A94))</f>
        <v/>
      </c>
      <c r="D94" s="5">
        <f>IF(A94="","",MAX(0,Config!$B$2-C94))</f>
        <v/>
      </c>
      <c r="E94" s="5">
        <f>IF(A94="","",MAX(0,Config!$B$3-C94))</f>
        <v/>
      </c>
      <c r="F94" s="5">
        <f>IF(A94="","",IF(COUNTIFS(Pedidos!$B$2:$B$501,A94,Pedidos!$D$2:$D$501,"Canje llavero")&gt;0,"Sí","No"))</f>
        <v/>
      </c>
      <c r="G94" s="5">
        <f>IF(A94="","",IF(COUNTIFS(Pedidos!$B$2:$B$501,A94,Pedidos!$D$2:$D$501,"Canje cápsula")&gt;0,"Sí","No"))</f>
        <v/>
      </c>
      <c r="H94" s="5">
        <f>IF(A94="","",IF(AND(C94&gt;=Config!$B$3,G94="No"),"¡Le toca abrir la cápsula!",IF(AND(C94&gt;=Config!$B$2,F94="No"),"¡Le toca llavero con nombre!",IF(C94&lt;Config!$B$2,"Faltan "&amp;D94&amp;" para el llavero","Faltan "&amp;E94&amp;" para la cápsula"))))</f>
        <v/>
      </c>
    </row>
    <row r="95">
      <c r="A95" s="11" t="n"/>
      <c r="B95" s="5">
        <f>IF(A95="","",IFERROR(INDEX(Pedidos!$C$2:$C$501,MATCH(A95,Pedidos!$B$2:$B$501,0)),""))</f>
        <v/>
      </c>
      <c r="C95" s="5">
        <f>IF(A95="","",SUMIFS(Pedidos!$J$2:$J$501,Pedidos!$B$2:$B$501,A95))</f>
        <v/>
      </c>
      <c r="D95" s="5">
        <f>IF(A95="","",MAX(0,Config!$B$2-C95))</f>
        <v/>
      </c>
      <c r="E95" s="5">
        <f>IF(A95="","",MAX(0,Config!$B$3-C95))</f>
        <v/>
      </c>
      <c r="F95" s="5">
        <f>IF(A95="","",IF(COUNTIFS(Pedidos!$B$2:$B$501,A95,Pedidos!$D$2:$D$501,"Canje llavero")&gt;0,"Sí","No"))</f>
        <v/>
      </c>
      <c r="G95" s="5">
        <f>IF(A95="","",IF(COUNTIFS(Pedidos!$B$2:$B$501,A95,Pedidos!$D$2:$D$501,"Canje cápsula")&gt;0,"Sí","No"))</f>
        <v/>
      </c>
      <c r="H95" s="5">
        <f>IF(A95="","",IF(AND(C95&gt;=Config!$B$3,G95="No"),"¡Le toca abrir la cápsula!",IF(AND(C95&gt;=Config!$B$2,F95="No"),"¡Le toca llavero con nombre!",IF(C95&lt;Config!$B$2,"Faltan "&amp;D95&amp;" para el llavero","Faltan "&amp;E95&amp;" para la cápsula"))))</f>
        <v/>
      </c>
    </row>
    <row r="96">
      <c r="A96" s="11" t="n"/>
      <c r="B96" s="5">
        <f>IF(A96="","",IFERROR(INDEX(Pedidos!$C$2:$C$501,MATCH(A96,Pedidos!$B$2:$B$501,0)),""))</f>
        <v/>
      </c>
      <c r="C96" s="5">
        <f>IF(A96="","",SUMIFS(Pedidos!$J$2:$J$501,Pedidos!$B$2:$B$501,A96))</f>
        <v/>
      </c>
      <c r="D96" s="5">
        <f>IF(A96="","",MAX(0,Config!$B$2-C96))</f>
        <v/>
      </c>
      <c r="E96" s="5">
        <f>IF(A96="","",MAX(0,Config!$B$3-C96))</f>
        <v/>
      </c>
      <c r="F96" s="5">
        <f>IF(A96="","",IF(COUNTIFS(Pedidos!$B$2:$B$501,A96,Pedidos!$D$2:$D$501,"Canje llavero")&gt;0,"Sí","No"))</f>
        <v/>
      </c>
      <c r="G96" s="5">
        <f>IF(A96="","",IF(COUNTIFS(Pedidos!$B$2:$B$501,A96,Pedidos!$D$2:$D$501,"Canje cápsula")&gt;0,"Sí","No"))</f>
        <v/>
      </c>
      <c r="H96" s="5">
        <f>IF(A96="","",IF(AND(C96&gt;=Config!$B$3,G96="No"),"¡Le toca abrir la cápsula!",IF(AND(C96&gt;=Config!$B$2,F96="No"),"¡Le toca llavero con nombre!",IF(C96&lt;Config!$B$2,"Faltan "&amp;D96&amp;" para el llavero","Faltan "&amp;E96&amp;" para la cápsula"))))</f>
        <v/>
      </c>
    </row>
    <row r="97">
      <c r="A97" s="11" t="n"/>
      <c r="B97" s="5">
        <f>IF(A97="","",IFERROR(INDEX(Pedidos!$C$2:$C$501,MATCH(A97,Pedidos!$B$2:$B$501,0)),""))</f>
        <v/>
      </c>
      <c r="C97" s="5">
        <f>IF(A97="","",SUMIFS(Pedidos!$J$2:$J$501,Pedidos!$B$2:$B$501,A97))</f>
        <v/>
      </c>
      <c r="D97" s="5">
        <f>IF(A97="","",MAX(0,Config!$B$2-C97))</f>
        <v/>
      </c>
      <c r="E97" s="5">
        <f>IF(A97="","",MAX(0,Config!$B$3-C97))</f>
        <v/>
      </c>
      <c r="F97" s="5">
        <f>IF(A97="","",IF(COUNTIFS(Pedidos!$B$2:$B$501,A97,Pedidos!$D$2:$D$501,"Canje llavero")&gt;0,"Sí","No"))</f>
        <v/>
      </c>
      <c r="G97" s="5">
        <f>IF(A97="","",IF(COUNTIFS(Pedidos!$B$2:$B$501,A97,Pedidos!$D$2:$D$501,"Canje cápsula")&gt;0,"Sí","No"))</f>
        <v/>
      </c>
      <c r="H97" s="5">
        <f>IF(A97="","",IF(AND(C97&gt;=Config!$B$3,G97="No"),"¡Le toca abrir la cápsula!",IF(AND(C97&gt;=Config!$B$2,F97="No"),"¡Le toca llavero con nombre!",IF(C97&lt;Config!$B$2,"Faltan "&amp;D97&amp;" para el llavero","Faltan "&amp;E97&amp;" para la cápsula"))))</f>
        <v/>
      </c>
    </row>
    <row r="98">
      <c r="A98" s="11" t="n"/>
      <c r="B98" s="5">
        <f>IF(A98="","",IFERROR(INDEX(Pedidos!$C$2:$C$501,MATCH(A98,Pedidos!$B$2:$B$501,0)),""))</f>
        <v/>
      </c>
      <c r="C98" s="5">
        <f>IF(A98="","",SUMIFS(Pedidos!$J$2:$J$501,Pedidos!$B$2:$B$501,A98))</f>
        <v/>
      </c>
      <c r="D98" s="5">
        <f>IF(A98="","",MAX(0,Config!$B$2-C98))</f>
        <v/>
      </c>
      <c r="E98" s="5">
        <f>IF(A98="","",MAX(0,Config!$B$3-C98))</f>
        <v/>
      </c>
      <c r="F98" s="5">
        <f>IF(A98="","",IF(COUNTIFS(Pedidos!$B$2:$B$501,A98,Pedidos!$D$2:$D$501,"Canje llavero")&gt;0,"Sí","No"))</f>
        <v/>
      </c>
      <c r="G98" s="5">
        <f>IF(A98="","",IF(COUNTIFS(Pedidos!$B$2:$B$501,A98,Pedidos!$D$2:$D$501,"Canje cápsula")&gt;0,"Sí","No"))</f>
        <v/>
      </c>
      <c r="H98" s="5">
        <f>IF(A98="","",IF(AND(C98&gt;=Config!$B$3,G98="No"),"¡Le toca abrir la cápsula!",IF(AND(C98&gt;=Config!$B$2,F98="No"),"¡Le toca llavero con nombre!",IF(C98&lt;Config!$B$2,"Faltan "&amp;D98&amp;" para el llavero","Faltan "&amp;E98&amp;" para la cápsula"))))</f>
        <v/>
      </c>
    </row>
    <row r="99">
      <c r="A99" s="11" t="n"/>
      <c r="B99" s="5">
        <f>IF(A99="","",IFERROR(INDEX(Pedidos!$C$2:$C$501,MATCH(A99,Pedidos!$B$2:$B$501,0)),""))</f>
        <v/>
      </c>
      <c r="C99" s="5">
        <f>IF(A99="","",SUMIFS(Pedidos!$J$2:$J$501,Pedidos!$B$2:$B$501,A99))</f>
        <v/>
      </c>
      <c r="D99" s="5">
        <f>IF(A99="","",MAX(0,Config!$B$2-C99))</f>
        <v/>
      </c>
      <c r="E99" s="5">
        <f>IF(A99="","",MAX(0,Config!$B$3-C99))</f>
        <v/>
      </c>
      <c r="F99" s="5">
        <f>IF(A99="","",IF(COUNTIFS(Pedidos!$B$2:$B$501,A99,Pedidos!$D$2:$D$501,"Canje llavero")&gt;0,"Sí","No"))</f>
        <v/>
      </c>
      <c r="G99" s="5">
        <f>IF(A99="","",IF(COUNTIFS(Pedidos!$B$2:$B$501,A99,Pedidos!$D$2:$D$501,"Canje cápsula")&gt;0,"Sí","No"))</f>
        <v/>
      </c>
      <c r="H99" s="5">
        <f>IF(A99="","",IF(AND(C99&gt;=Config!$B$3,G99="No"),"¡Le toca abrir la cápsula!",IF(AND(C99&gt;=Config!$B$2,F99="No"),"¡Le toca llavero con nombre!",IF(C99&lt;Config!$B$2,"Faltan "&amp;D99&amp;" para el llavero","Faltan "&amp;E99&amp;" para la cápsula"))))</f>
        <v/>
      </c>
    </row>
    <row r="100">
      <c r="A100" s="11" t="n"/>
      <c r="B100" s="5">
        <f>IF(A100="","",IFERROR(INDEX(Pedidos!$C$2:$C$501,MATCH(A100,Pedidos!$B$2:$B$501,0)),""))</f>
        <v/>
      </c>
      <c r="C100" s="5">
        <f>IF(A100="","",SUMIFS(Pedidos!$J$2:$J$501,Pedidos!$B$2:$B$501,A100))</f>
        <v/>
      </c>
      <c r="D100" s="5">
        <f>IF(A100="","",MAX(0,Config!$B$2-C100))</f>
        <v/>
      </c>
      <c r="E100" s="5">
        <f>IF(A100="","",MAX(0,Config!$B$3-C100))</f>
        <v/>
      </c>
      <c r="F100" s="5">
        <f>IF(A100="","",IF(COUNTIFS(Pedidos!$B$2:$B$501,A100,Pedidos!$D$2:$D$501,"Canje llavero")&gt;0,"Sí","No"))</f>
        <v/>
      </c>
      <c r="G100" s="5">
        <f>IF(A100="","",IF(COUNTIFS(Pedidos!$B$2:$B$501,A100,Pedidos!$D$2:$D$501,"Canje cápsula")&gt;0,"Sí","No"))</f>
        <v/>
      </c>
      <c r="H100" s="5">
        <f>IF(A100="","",IF(AND(C100&gt;=Config!$B$3,G100="No"),"¡Le toca abrir la cápsula!",IF(AND(C100&gt;=Config!$B$2,F100="No"),"¡Le toca llavero con nombre!",IF(C100&lt;Config!$B$2,"Faltan "&amp;D100&amp;" para el llavero","Faltan "&amp;E100&amp;" para la cápsula"))))</f>
        <v/>
      </c>
    </row>
    <row r="101">
      <c r="A101" s="11" t="n"/>
      <c r="B101" s="5">
        <f>IF(A101="","",IFERROR(INDEX(Pedidos!$C$2:$C$501,MATCH(A101,Pedidos!$B$2:$B$501,0)),""))</f>
        <v/>
      </c>
      <c r="C101" s="5">
        <f>IF(A101="","",SUMIFS(Pedidos!$J$2:$J$501,Pedidos!$B$2:$B$501,A101))</f>
        <v/>
      </c>
      <c r="D101" s="5">
        <f>IF(A101="","",MAX(0,Config!$B$2-C101))</f>
        <v/>
      </c>
      <c r="E101" s="5">
        <f>IF(A101="","",MAX(0,Config!$B$3-C101))</f>
        <v/>
      </c>
      <c r="F101" s="5">
        <f>IF(A101="","",IF(COUNTIFS(Pedidos!$B$2:$B$501,A101,Pedidos!$D$2:$D$501,"Canje llavero")&gt;0,"Sí","No"))</f>
        <v/>
      </c>
      <c r="G101" s="5">
        <f>IF(A101="","",IF(COUNTIFS(Pedidos!$B$2:$B$501,A101,Pedidos!$D$2:$D$501,"Canje cápsula")&gt;0,"Sí","No"))</f>
        <v/>
      </c>
      <c r="H101" s="5">
        <f>IF(A101="","",IF(AND(C101&gt;=Config!$B$3,G101="No"),"¡Le toca abrir la cápsula!",IF(AND(C101&gt;=Config!$B$2,F101="No"),"¡Le toca llavero con nombre!",IF(C101&lt;Config!$B$2,"Faltan "&amp;D101&amp;" para el llavero","Faltan "&amp;E101&amp;" para la cápsula"))))</f>
        <v/>
      </c>
    </row>
    <row r="102">
      <c r="A102" s="11" t="n"/>
      <c r="B102" s="5">
        <f>IF(A102="","",IFERROR(INDEX(Pedidos!$C$2:$C$501,MATCH(A102,Pedidos!$B$2:$B$501,0)),""))</f>
        <v/>
      </c>
      <c r="C102" s="5">
        <f>IF(A102="","",SUMIFS(Pedidos!$J$2:$J$501,Pedidos!$B$2:$B$501,A102))</f>
        <v/>
      </c>
      <c r="D102" s="5">
        <f>IF(A102="","",MAX(0,Config!$B$2-C102))</f>
        <v/>
      </c>
      <c r="E102" s="5">
        <f>IF(A102="","",MAX(0,Config!$B$3-C102))</f>
        <v/>
      </c>
      <c r="F102" s="5">
        <f>IF(A102="","",IF(COUNTIFS(Pedidos!$B$2:$B$501,A102,Pedidos!$D$2:$D$501,"Canje llavero")&gt;0,"Sí","No"))</f>
        <v/>
      </c>
      <c r="G102" s="5">
        <f>IF(A102="","",IF(COUNTIFS(Pedidos!$B$2:$B$501,A102,Pedidos!$D$2:$D$501,"Canje cápsula")&gt;0,"Sí","No"))</f>
        <v/>
      </c>
      <c r="H102" s="5">
        <f>IF(A102="","",IF(AND(C102&gt;=Config!$B$3,G102="No"),"¡Le toca abrir la cápsula!",IF(AND(C102&gt;=Config!$B$2,F102="No"),"¡Le toca llavero con nombre!",IF(C102&lt;Config!$B$2,"Faltan "&amp;D102&amp;" para el llavero","Faltan "&amp;E102&amp;" para la cápsula"))))</f>
        <v/>
      </c>
    </row>
    <row r="103">
      <c r="A103" s="11" t="n"/>
      <c r="B103" s="5">
        <f>IF(A103="","",IFERROR(INDEX(Pedidos!$C$2:$C$501,MATCH(A103,Pedidos!$B$2:$B$501,0)),""))</f>
        <v/>
      </c>
      <c r="C103" s="5">
        <f>IF(A103="","",SUMIFS(Pedidos!$J$2:$J$501,Pedidos!$B$2:$B$501,A103))</f>
        <v/>
      </c>
      <c r="D103" s="5">
        <f>IF(A103="","",MAX(0,Config!$B$2-C103))</f>
        <v/>
      </c>
      <c r="E103" s="5">
        <f>IF(A103="","",MAX(0,Config!$B$3-C103))</f>
        <v/>
      </c>
      <c r="F103" s="5">
        <f>IF(A103="","",IF(COUNTIFS(Pedidos!$B$2:$B$501,A103,Pedidos!$D$2:$D$501,"Canje llavero")&gt;0,"Sí","No"))</f>
        <v/>
      </c>
      <c r="G103" s="5">
        <f>IF(A103="","",IF(COUNTIFS(Pedidos!$B$2:$B$501,A103,Pedidos!$D$2:$D$501,"Canje cápsula")&gt;0,"Sí","No"))</f>
        <v/>
      </c>
      <c r="H103" s="5">
        <f>IF(A103="","",IF(AND(C103&gt;=Config!$B$3,G103="No"),"¡Le toca abrir la cápsula!",IF(AND(C103&gt;=Config!$B$2,F103="No"),"¡Le toca llavero con nombre!",IF(C103&lt;Config!$B$2,"Faltan "&amp;D103&amp;" para el llavero","Faltan "&amp;E103&amp;" para la cápsula"))))</f>
        <v/>
      </c>
    </row>
    <row r="104">
      <c r="A104" s="11" t="n"/>
      <c r="B104" s="5">
        <f>IF(A104="","",IFERROR(INDEX(Pedidos!$C$2:$C$501,MATCH(A104,Pedidos!$B$2:$B$501,0)),""))</f>
        <v/>
      </c>
      <c r="C104" s="5">
        <f>IF(A104="","",SUMIFS(Pedidos!$J$2:$J$501,Pedidos!$B$2:$B$501,A104))</f>
        <v/>
      </c>
      <c r="D104" s="5">
        <f>IF(A104="","",MAX(0,Config!$B$2-C104))</f>
        <v/>
      </c>
      <c r="E104" s="5">
        <f>IF(A104="","",MAX(0,Config!$B$3-C104))</f>
        <v/>
      </c>
      <c r="F104" s="5">
        <f>IF(A104="","",IF(COUNTIFS(Pedidos!$B$2:$B$501,A104,Pedidos!$D$2:$D$501,"Canje llavero")&gt;0,"Sí","No"))</f>
        <v/>
      </c>
      <c r="G104" s="5">
        <f>IF(A104="","",IF(COUNTIFS(Pedidos!$B$2:$B$501,A104,Pedidos!$D$2:$D$501,"Canje cápsula")&gt;0,"Sí","No"))</f>
        <v/>
      </c>
      <c r="H104" s="5">
        <f>IF(A104="","",IF(AND(C104&gt;=Config!$B$3,G104="No"),"¡Le toca abrir la cápsula!",IF(AND(C104&gt;=Config!$B$2,F104="No"),"¡Le toca llavero con nombre!",IF(C104&lt;Config!$B$2,"Faltan "&amp;D104&amp;" para el llavero","Faltan "&amp;E104&amp;" para la cápsula"))))</f>
        <v/>
      </c>
    </row>
    <row r="105">
      <c r="A105" s="11" t="n"/>
      <c r="B105" s="5">
        <f>IF(A105="","",IFERROR(INDEX(Pedidos!$C$2:$C$501,MATCH(A105,Pedidos!$B$2:$B$501,0)),""))</f>
        <v/>
      </c>
      <c r="C105" s="5">
        <f>IF(A105="","",SUMIFS(Pedidos!$J$2:$J$501,Pedidos!$B$2:$B$501,A105))</f>
        <v/>
      </c>
      <c r="D105" s="5">
        <f>IF(A105="","",MAX(0,Config!$B$2-C105))</f>
        <v/>
      </c>
      <c r="E105" s="5">
        <f>IF(A105="","",MAX(0,Config!$B$3-C105))</f>
        <v/>
      </c>
      <c r="F105" s="5">
        <f>IF(A105="","",IF(COUNTIFS(Pedidos!$B$2:$B$501,A105,Pedidos!$D$2:$D$501,"Canje llavero")&gt;0,"Sí","No"))</f>
        <v/>
      </c>
      <c r="G105" s="5">
        <f>IF(A105="","",IF(COUNTIFS(Pedidos!$B$2:$B$501,A105,Pedidos!$D$2:$D$501,"Canje cápsula")&gt;0,"Sí","No"))</f>
        <v/>
      </c>
      <c r="H105" s="5">
        <f>IF(A105="","",IF(AND(C105&gt;=Config!$B$3,G105="No"),"¡Le toca abrir la cápsula!",IF(AND(C105&gt;=Config!$B$2,F105="No"),"¡Le toca llavero con nombre!",IF(C105&lt;Config!$B$2,"Faltan "&amp;D105&amp;" para el llavero","Faltan "&amp;E105&amp;" para la cápsula"))))</f>
        <v/>
      </c>
    </row>
    <row r="106">
      <c r="A106" s="11" t="n"/>
      <c r="B106" s="5">
        <f>IF(A106="","",IFERROR(INDEX(Pedidos!$C$2:$C$501,MATCH(A106,Pedidos!$B$2:$B$501,0)),""))</f>
        <v/>
      </c>
      <c r="C106" s="5">
        <f>IF(A106="","",SUMIFS(Pedidos!$J$2:$J$501,Pedidos!$B$2:$B$501,A106))</f>
        <v/>
      </c>
      <c r="D106" s="5">
        <f>IF(A106="","",MAX(0,Config!$B$2-C106))</f>
        <v/>
      </c>
      <c r="E106" s="5">
        <f>IF(A106="","",MAX(0,Config!$B$3-C106))</f>
        <v/>
      </c>
      <c r="F106" s="5">
        <f>IF(A106="","",IF(COUNTIFS(Pedidos!$B$2:$B$501,A106,Pedidos!$D$2:$D$501,"Canje llavero")&gt;0,"Sí","No"))</f>
        <v/>
      </c>
      <c r="G106" s="5">
        <f>IF(A106="","",IF(COUNTIFS(Pedidos!$B$2:$B$501,A106,Pedidos!$D$2:$D$501,"Canje cápsula")&gt;0,"Sí","No"))</f>
        <v/>
      </c>
      <c r="H106" s="5">
        <f>IF(A106="","",IF(AND(C106&gt;=Config!$B$3,G106="No"),"¡Le toca abrir la cápsula!",IF(AND(C106&gt;=Config!$B$2,F106="No"),"¡Le toca llavero con nombre!",IF(C106&lt;Config!$B$2,"Faltan "&amp;D106&amp;" para el llavero","Faltan "&amp;E106&amp;" para la cápsula"))))</f>
        <v/>
      </c>
    </row>
    <row r="107">
      <c r="A107" s="11" t="n"/>
      <c r="B107" s="5">
        <f>IF(A107="","",IFERROR(INDEX(Pedidos!$C$2:$C$501,MATCH(A107,Pedidos!$B$2:$B$501,0)),""))</f>
        <v/>
      </c>
      <c r="C107" s="5">
        <f>IF(A107="","",SUMIFS(Pedidos!$J$2:$J$501,Pedidos!$B$2:$B$501,A107))</f>
        <v/>
      </c>
      <c r="D107" s="5">
        <f>IF(A107="","",MAX(0,Config!$B$2-C107))</f>
        <v/>
      </c>
      <c r="E107" s="5">
        <f>IF(A107="","",MAX(0,Config!$B$3-C107))</f>
        <v/>
      </c>
      <c r="F107" s="5">
        <f>IF(A107="","",IF(COUNTIFS(Pedidos!$B$2:$B$501,A107,Pedidos!$D$2:$D$501,"Canje llavero")&gt;0,"Sí","No"))</f>
        <v/>
      </c>
      <c r="G107" s="5">
        <f>IF(A107="","",IF(COUNTIFS(Pedidos!$B$2:$B$501,A107,Pedidos!$D$2:$D$501,"Canje cápsula")&gt;0,"Sí","No"))</f>
        <v/>
      </c>
      <c r="H107" s="5">
        <f>IF(A107="","",IF(AND(C107&gt;=Config!$B$3,G107="No"),"¡Le toca abrir la cápsula!",IF(AND(C107&gt;=Config!$B$2,F107="No"),"¡Le toca llavero con nombre!",IF(C107&lt;Config!$B$2,"Faltan "&amp;D107&amp;" para el llavero","Faltan "&amp;E107&amp;" para la cápsula"))))</f>
        <v/>
      </c>
    </row>
    <row r="108">
      <c r="A108" s="11" t="n"/>
      <c r="B108" s="5">
        <f>IF(A108="","",IFERROR(INDEX(Pedidos!$C$2:$C$501,MATCH(A108,Pedidos!$B$2:$B$501,0)),""))</f>
        <v/>
      </c>
      <c r="C108" s="5">
        <f>IF(A108="","",SUMIFS(Pedidos!$J$2:$J$501,Pedidos!$B$2:$B$501,A108))</f>
        <v/>
      </c>
      <c r="D108" s="5">
        <f>IF(A108="","",MAX(0,Config!$B$2-C108))</f>
        <v/>
      </c>
      <c r="E108" s="5">
        <f>IF(A108="","",MAX(0,Config!$B$3-C108))</f>
        <v/>
      </c>
      <c r="F108" s="5">
        <f>IF(A108="","",IF(COUNTIFS(Pedidos!$B$2:$B$501,A108,Pedidos!$D$2:$D$501,"Canje llavero")&gt;0,"Sí","No"))</f>
        <v/>
      </c>
      <c r="G108" s="5">
        <f>IF(A108="","",IF(COUNTIFS(Pedidos!$B$2:$B$501,A108,Pedidos!$D$2:$D$501,"Canje cápsula")&gt;0,"Sí","No"))</f>
        <v/>
      </c>
      <c r="H108" s="5">
        <f>IF(A108="","",IF(AND(C108&gt;=Config!$B$3,G108="No"),"¡Le toca abrir la cápsula!",IF(AND(C108&gt;=Config!$B$2,F108="No"),"¡Le toca llavero con nombre!",IF(C108&lt;Config!$B$2,"Faltan "&amp;D108&amp;" para el llavero","Faltan "&amp;E108&amp;" para la cápsula"))))</f>
        <v/>
      </c>
    </row>
    <row r="109">
      <c r="A109" s="11" t="n"/>
      <c r="B109" s="5">
        <f>IF(A109="","",IFERROR(INDEX(Pedidos!$C$2:$C$501,MATCH(A109,Pedidos!$B$2:$B$501,0)),""))</f>
        <v/>
      </c>
      <c r="C109" s="5">
        <f>IF(A109="","",SUMIFS(Pedidos!$J$2:$J$501,Pedidos!$B$2:$B$501,A109))</f>
        <v/>
      </c>
      <c r="D109" s="5">
        <f>IF(A109="","",MAX(0,Config!$B$2-C109))</f>
        <v/>
      </c>
      <c r="E109" s="5">
        <f>IF(A109="","",MAX(0,Config!$B$3-C109))</f>
        <v/>
      </c>
      <c r="F109" s="5">
        <f>IF(A109="","",IF(COUNTIFS(Pedidos!$B$2:$B$501,A109,Pedidos!$D$2:$D$501,"Canje llavero")&gt;0,"Sí","No"))</f>
        <v/>
      </c>
      <c r="G109" s="5">
        <f>IF(A109="","",IF(COUNTIFS(Pedidos!$B$2:$B$501,A109,Pedidos!$D$2:$D$501,"Canje cápsula")&gt;0,"Sí","No"))</f>
        <v/>
      </c>
      <c r="H109" s="5">
        <f>IF(A109="","",IF(AND(C109&gt;=Config!$B$3,G109="No"),"¡Le toca abrir la cápsula!",IF(AND(C109&gt;=Config!$B$2,F109="No"),"¡Le toca llavero con nombre!",IF(C109&lt;Config!$B$2,"Faltan "&amp;D109&amp;" para el llavero","Faltan "&amp;E109&amp;" para la cápsula"))))</f>
        <v/>
      </c>
    </row>
    <row r="110">
      <c r="A110" s="11" t="n"/>
      <c r="B110" s="5">
        <f>IF(A110="","",IFERROR(INDEX(Pedidos!$C$2:$C$501,MATCH(A110,Pedidos!$B$2:$B$501,0)),""))</f>
        <v/>
      </c>
      <c r="C110" s="5">
        <f>IF(A110="","",SUMIFS(Pedidos!$J$2:$J$501,Pedidos!$B$2:$B$501,A110))</f>
        <v/>
      </c>
      <c r="D110" s="5">
        <f>IF(A110="","",MAX(0,Config!$B$2-C110))</f>
        <v/>
      </c>
      <c r="E110" s="5">
        <f>IF(A110="","",MAX(0,Config!$B$3-C110))</f>
        <v/>
      </c>
      <c r="F110" s="5">
        <f>IF(A110="","",IF(COUNTIFS(Pedidos!$B$2:$B$501,A110,Pedidos!$D$2:$D$501,"Canje llavero")&gt;0,"Sí","No"))</f>
        <v/>
      </c>
      <c r="G110" s="5">
        <f>IF(A110="","",IF(COUNTIFS(Pedidos!$B$2:$B$501,A110,Pedidos!$D$2:$D$501,"Canje cápsula")&gt;0,"Sí","No"))</f>
        <v/>
      </c>
      <c r="H110" s="5">
        <f>IF(A110="","",IF(AND(C110&gt;=Config!$B$3,G110="No"),"¡Le toca abrir la cápsula!",IF(AND(C110&gt;=Config!$B$2,F110="No"),"¡Le toca llavero con nombre!",IF(C110&lt;Config!$B$2,"Faltan "&amp;D110&amp;" para el llavero","Faltan "&amp;E110&amp;" para la cápsula"))))</f>
        <v/>
      </c>
    </row>
    <row r="111">
      <c r="A111" s="11" t="n"/>
      <c r="B111" s="5">
        <f>IF(A111="","",IFERROR(INDEX(Pedidos!$C$2:$C$501,MATCH(A111,Pedidos!$B$2:$B$501,0)),""))</f>
        <v/>
      </c>
      <c r="C111" s="5">
        <f>IF(A111="","",SUMIFS(Pedidos!$J$2:$J$501,Pedidos!$B$2:$B$501,A111))</f>
        <v/>
      </c>
      <c r="D111" s="5">
        <f>IF(A111="","",MAX(0,Config!$B$2-C111))</f>
        <v/>
      </c>
      <c r="E111" s="5">
        <f>IF(A111="","",MAX(0,Config!$B$3-C111))</f>
        <v/>
      </c>
      <c r="F111" s="5">
        <f>IF(A111="","",IF(COUNTIFS(Pedidos!$B$2:$B$501,A111,Pedidos!$D$2:$D$501,"Canje llavero")&gt;0,"Sí","No"))</f>
        <v/>
      </c>
      <c r="G111" s="5">
        <f>IF(A111="","",IF(COUNTIFS(Pedidos!$B$2:$B$501,A111,Pedidos!$D$2:$D$501,"Canje cápsula")&gt;0,"Sí","No"))</f>
        <v/>
      </c>
      <c r="H111" s="5">
        <f>IF(A111="","",IF(AND(C111&gt;=Config!$B$3,G111="No"),"¡Le toca abrir la cápsula!",IF(AND(C111&gt;=Config!$B$2,F111="No"),"¡Le toca llavero con nombre!",IF(C111&lt;Config!$B$2,"Faltan "&amp;D111&amp;" para el llavero","Faltan "&amp;E111&amp;" para la cápsula"))))</f>
        <v/>
      </c>
    </row>
    <row r="112">
      <c r="A112" s="11" t="n"/>
      <c r="B112" s="5">
        <f>IF(A112="","",IFERROR(INDEX(Pedidos!$C$2:$C$501,MATCH(A112,Pedidos!$B$2:$B$501,0)),""))</f>
        <v/>
      </c>
      <c r="C112" s="5">
        <f>IF(A112="","",SUMIFS(Pedidos!$J$2:$J$501,Pedidos!$B$2:$B$501,A112))</f>
        <v/>
      </c>
      <c r="D112" s="5">
        <f>IF(A112="","",MAX(0,Config!$B$2-C112))</f>
        <v/>
      </c>
      <c r="E112" s="5">
        <f>IF(A112="","",MAX(0,Config!$B$3-C112))</f>
        <v/>
      </c>
      <c r="F112" s="5">
        <f>IF(A112="","",IF(COUNTIFS(Pedidos!$B$2:$B$501,A112,Pedidos!$D$2:$D$501,"Canje llavero")&gt;0,"Sí","No"))</f>
        <v/>
      </c>
      <c r="G112" s="5">
        <f>IF(A112="","",IF(COUNTIFS(Pedidos!$B$2:$B$501,A112,Pedidos!$D$2:$D$501,"Canje cápsula")&gt;0,"Sí","No"))</f>
        <v/>
      </c>
      <c r="H112" s="5">
        <f>IF(A112="","",IF(AND(C112&gt;=Config!$B$3,G112="No"),"¡Le toca abrir la cápsula!",IF(AND(C112&gt;=Config!$B$2,F112="No"),"¡Le toca llavero con nombre!",IF(C112&lt;Config!$B$2,"Faltan "&amp;D112&amp;" para el llavero","Faltan "&amp;E112&amp;" para la cápsula"))))</f>
        <v/>
      </c>
    </row>
    <row r="113">
      <c r="A113" s="11" t="n"/>
      <c r="B113" s="5">
        <f>IF(A113="","",IFERROR(INDEX(Pedidos!$C$2:$C$501,MATCH(A113,Pedidos!$B$2:$B$501,0)),""))</f>
        <v/>
      </c>
      <c r="C113" s="5">
        <f>IF(A113="","",SUMIFS(Pedidos!$J$2:$J$501,Pedidos!$B$2:$B$501,A113))</f>
        <v/>
      </c>
      <c r="D113" s="5">
        <f>IF(A113="","",MAX(0,Config!$B$2-C113))</f>
        <v/>
      </c>
      <c r="E113" s="5">
        <f>IF(A113="","",MAX(0,Config!$B$3-C113))</f>
        <v/>
      </c>
      <c r="F113" s="5">
        <f>IF(A113="","",IF(COUNTIFS(Pedidos!$B$2:$B$501,A113,Pedidos!$D$2:$D$501,"Canje llavero")&gt;0,"Sí","No"))</f>
        <v/>
      </c>
      <c r="G113" s="5">
        <f>IF(A113="","",IF(COUNTIFS(Pedidos!$B$2:$B$501,A113,Pedidos!$D$2:$D$501,"Canje cápsula")&gt;0,"Sí","No"))</f>
        <v/>
      </c>
      <c r="H113" s="5">
        <f>IF(A113="","",IF(AND(C113&gt;=Config!$B$3,G113="No"),"¡Le toca abrir la cápsula!",IF(AND(C113&gt;=Config!$B$2,F113="No"),"¡Le toca llavero con nombre!",IF(C113&lt;Config!$B$2,"Faltan "&amp;D113&amp;" para el llavero","Faltan "&amp;E113&amp;" para la cápsula"))))</f>
        <v/>
      </c>
    </row>
    <row r="114">
      <c r="A114" s="11" t="n"/>
      <c r="B114" s="5">
        <f>IF(A114="","",IFERROR(INDEX(Pedidos!$C$2:$C$501,MATCH(A114,Pedidos!$B$2:$B$501,0)),""))</f>
        <v/>
      </c>
      <c r="C114" s="5">
        <f>IF(A114="","",SUMIFS(Pedidos!$J$2:$J$501,Pedidos!$B$2:$B$501,A114))</f>
        <v/>
      </c>
      <c r="D114" s="5">
        <f>IF(A114="","",MAX(0,Config!$B$2-C114))</f>
        <v/>
      </c>
      <c r="E114" s="5">
        <f>IF(A114="","",MAX(0,Config!$B$3-C114))</f>
        <v/>
      </c>
      <c r="F114" s="5">
        <f>IF(A114="","",IF(COUNTIFS(Pedidos!$B$2:$B$501,A114,Pedidos!$D$2:$D$501,"Canje llavero")&gt;0,"Sí","No"))</f>
        <v/>
      </c>
      <c r="G114" s="5">
        <f>IF(A114="","",IF(COUNTIFS(Pedidos!$B$2:$B$501,A114,Pedidos!$D$2:$D$501,"Canje cápsula")&gt;0,"Sí","No"))</f>
        <v/>
      </c>
      <c r="H114" s="5">
        <f>IF(A114="","",IF(AND(C114&gt;=Config!$B$3,G114="No"),"¡Le toca abrir la cápsula!",IF(AND(C114&gt;=Config!$B$2,F114="No"),"¡Le toca llavero con nombre!",IF(C114&lt;Config!$B$2,"Faltan "&amp;D114&amp;" para el llavero","Faltan "&amp;E114&amp;" para la cápsula"))))</f>
        <v/>
      </c>
    </row>
    <row r="115">
      <c r="A115" s="11" t="n"/>
      <c r="B115" s="5">
        <f>IF(A115="","",IFERROR(INDEX(Pedidos!$C$2:$C$501,MATCH(A115,Pedidos!$B$2:$B$501,0)),""))</f>
        <v/>
      </c>
      <c r="C115" s="5">
        <f>IF(A115="","",SUMIFS(Pedidos!$J$2:$J$501,Pedidos!$B$2:$B$501,A115))</f>
        <v/>
      </c>
      <c r="D115" s="5">
        <f>IF(A115="","",MAX(0,Config!$B$2-C115))</f>
        <v/>
      </c>
      <c r="E115" s="5">
        <f>IF(A115="","",MAX(0,Config!$B$3-C115))</f>
        <v/>
      </c>
      <c r="F115" s="5">
        <f>IF(A115="","",IF(COUNTIFS(Pedidos!$B$2:$B$501,A115,Pedidos!$D$2:$D$501,"Canje llavero")&gt;0,"Sí","No"))</f>
        <v/>
      </c>
      <c r="G115" s="5">
        <f>IF(A115="","",IF(COUNTIFS(Pedidos!$B$2:$B$501,A115,Pedidos!$D$2:$D$501,"Canje cápsula")&gt;0,"Sí","No"))</f>
        <v/>
      </c>
      <c r="H115" s="5">
        <f>IF(A115="","",IF(AND(C115&gt;=Config!$B$3,G115="No"),"¡Le toca abrir la cápsula!",IF(AND(C115&gt;=Config!$B$2,F115="No"),"¡Le toca llavero con nombre!",IF(C115&lt;Config!$B$2,"Faltan "&amp;D115&amp;" para el llavero","Faltan "&amp;E115&amp;" para la cápsula"))))</f>
        <v/>
      </c>
    </row>
    <row r="116">
      <c r="A116" s="11" t="n"/>
      <c r="B116" s="5">
        <f>IF(A116="","",IFERROR(INDEX(Pedidos!$C$2:$C$501,MATCH(A116,Pedidos!$B$2:$B$501,0)),""))</f>
        <v/>
      </c>
      <c r="C116" s="5">
        <f>IF(A116="","",SUMIFS(Pedidos!$J$2:$J$501,Pedidos!$B$2:$B$501,A116))</f>
        <v/>
      </c>
      <c r="D116" s="5">
        <f>IF(A116="","",MAX(0,Config!$B$2-C116))</f>
        <v/>
      </c>
      <c r="E116" s="5">
        <f>IF(A116="","",MAX(0,Config!$B$3-C116))</f>
        <v/>
      </c>
      <c r="F116" s="5">
        <f>IF(A116="","",IF(COUNTIFS(Pedidos!$B$2:$B$501,A116,Pedidos!$D$2:$D$501,"Canje llavero")&gt;0,"Sí","No"))</f>
        <v/>
      </c>
      <c r="G116" s="5">
        <f>IF(A116="","",IF(COUNTIFS(Pedidos!$B$2:$B$501,A116,Pedidos!$D$2:$D$501,"Canje cápsula")&gt;0,"Sí","No"))</f>
        <v/>
      </c>
      <c r="H116" s="5">
        <f>IF(A116="","",IF(AND(C116&gt;=Config!$B$3,G116="No"),"¡Le toca abrir la cápsula!",IF(AND(C116&gt;=Config!$B$2,F116="No"),"¡Le toca llavero con nombre!",IF(C116&lt;Config!$B$2,"Faltan "&amp;D116&amp;" para el llavero","Faltan "&amp;E116&amp;" para la cápsula"))))</f>
        <v/>
      </c>
    </row>
    <row r="117">
      <c r="A117" s="11" t="n"/>
      <c r="B117" s="5">
        <f>IF(A117="","",IFERROR(INDEX(Pedidos!$C$2:$C$501,MATCH(A117,Pedidos!$B$2:$B$501,0)),""))</f>
        <v/>
      </c>
      <c r="C117" s="5">
        <f>IF(A117="","",SUMIFS(Pedidos!$J$2:$J$501,Pedidos!$B$2:$B$501,A117))</f>
        <v/>
      </c>
      <c r="D117" s="5">
        <f>IF(A117="","",MAX(0,Config!$B$2-C117))</f>
        <v/>
      </c>
      <c r="E117" s="5">
        <f>IF(A117="","",MAX(0,Config!$B$3-C117))</f>
        <v/>
      </c>
      <c r="F117" s="5">
        <f>IF(A117="","",IF(COUNTIFS(Pedidos!$B$2:$B$501,A117,Pedidos!$D$2:$D$501,"Canje llavero")&gt;0,"Sí","No"))</f>
        <v/>
      </c>
      <c r="G117" s="5">
        <f>IF(A117="","",IF(COUNTIFS(Pedidos!$B$2:$B$501,A117,Pedidos!$D$2:$D$501,"Canje cápsula")&gt;0,"Sí","No"))</f>
        <v/>
      </c>
      <c r="H117" s="5">
        <f>IF(A117="","",IF(AND(C117&gt;=Config!$B$3,G117="No"),"¡Le toca abrir la cápsula!",IF(AND(C117&gt;=Config!$B$2,F117="No"),"¡Le toca llavero con nombre!",IF(C117&lt;Config!$B$2,"Faltan "&amp;D117&amp;" para el llavero","Faltan "&amp;E117&amp;" para la cápsula"))))</f>
        <v/>
      </c>
    </row>
    <row r="118">
      <c r="A118" s="11" t="n"/>
      <c r="B118" s="5">
        <f>IF(A118="","",IFERROR(INDEX(Pedidos!$C$2:$C$501,MATCH(A118,Pedidos!$B$2:$B$501,0)),""))</f>
        <v/>
      </c>
      <c r="C118" s="5">
        <f>IF(A118="","",SUMIFS(Pedidos!$J$2:$J$501,Pedidos!$B$2:$B$501,A118))</f>
        <v/>
      </c>
      <c r="D118" s="5">
        <f>IF(A118="","",MAX(0,Config!$B$2-C118))</f>
        <v/>
      </c>
      <c r="E118" s="5">
        <f>IF(A118="","",MAX(0,Config!$B$3-C118))</f>
        <v/>
      </c>
      <c r="F118" s="5">
        <f>IF(A118="","",IF(COUNTIFS(Pedidos!$B$2:$B$501,A118,Pedidos!$D$2:$D$501,"Canje llavero")&gt;0,"Sí","No"))</f>
        <v/>
      </c>
      <c r="G118" s="5">
        <f>IF(A118="","",IF(COUNTIFS(Pedidos!$B$2:$B$501,A118,Pedidos!$D$2:$D$501,"Canje cápsula")&gt;0,"Sí","No"))</f>
        <v/>
      </c>
      <c r="H118" s="5">
        <f>IF(A118="","",IF(AND(C118&gt;=Config!$B$3,G118="No"),"¡Le toca abrir la cápsula!",IF(AND(C118&gt;=Config!$B$2,F118="No"),"¡Le toca llavero con nombre!",IF(C118&lt;Config!$B$2,"Faltan "&amp;D118&amp;" para el llavero","Faltan "&amp;E118&amp;" para la cápsula"))))</f>
        <v/>
      </c>
    </row>
    <row r="119">
      <c r="A119" s="11" t="n"/>
      <c r="B119" s="5">
        <f>IF(A119="","",IFERROR(INDEX(Pedidos!$C$2:$C$501,MATCH(A119,Pedidos!$B$2:$B$501,0)),""))</f>
        <v/>
      </c>
      <c r="C119" s="5">
        <f>IF(A119="","",SUMIFS(Pedidos!$J$2:$J$501,Pedidos!$B$2:$B$501,A119))</f>
        <v/>
      </c>
      <c r="D119" s="5">
        <f>IF(A119="","",MAX(0,Config!$B$2-C119))</f>
        <v/>
      </c>
      <c r="E119" s="5">
        <f>IF(A119="","",MAX(0,Config!$B$3-C119))</f>
        <v/>
      </c>
      <c r="F119" s="5">
        <f>IF(A119="","",IF(COUNTIFS(Pedidos!$B$2:$B$501,A119,Pedidos!$D$2:$D$501,"Canje llavero")&gt;0,"Sí","No"))</f>
        <v/>
      </c>
      <c r="G119" s="5">
        <f>IF(A119="","",IF(COUNTIFS(Pedidos!$B$2:$B$501,A119,Pedidos!$D$2:$D$501,"Canje cápsula")&gt;0,"Sí","No"))</f>
        <v/>
      </c>
      <c r="H119" s="5">
        <f>IF(A119="","",IF(AND(C119&gt;=Config!$B$3,G119="No"),"¡Le toca abrir la cápsula!",IF(AND(C119&gt;=Config!$B$2,F119="No"),"¡Le toca llavero con nombre!",IF(C119&lt;Config!$B$2,"Faltan "&amp;D119&amp;" para el llavero","Faltan "&amp;E119&amp;" para la cápsula"))))</f>
        <v/>
      </c>
    </row>
    <row r="120">
      <c r="A120" s="11" t="n"/>
      <c r="B120" s="5">
        <f>IF(A120="","",IFERROR(INDEX(Pedidos!$C$2:$C$501,MATCH(A120,Pedidos!$B$2:$B$501,0)),""))</f>
        <v/>
      </c>
      <c r="C120" s="5">
        <f>IF(A120="","",SUMIFS(Pedidos!$J$2:$J$501,Pedidos!$B$2:$B$501,A120))</f>
        <v/>
      </c>
      <c r="D120" s="5">
        <f>IF(A120="","",MAX(0,Config!$B$2-C120))</f>
        <v/>
      </c>
      <c r="E120" s="5">
        <f>IF(A120="","",MAX(0,Config!$B$3-C120))</f>
        <v/>
      </c>
      <c r="F120" s="5">
        <f>IF(A120="","",IF(COUNTIFS(Pedidos!$B$2:$B$501,A120,Pedidos!$D$2:$D$501,"Canje llavero")&gt;0,"Sí","No"))</f>
        <v/>
      </c>
      <c r="G120" s="5">
        <f>IF(A120="","",IF(COUNTIFS(Pedidos!$B$2:$B$501,A120,Pedidos!$D$2:$D$501,"Canje cápsula")&gt;0,"Sí","No"))</f>
        <v/>
      </c>
      <c r="H120" s="5">
        <f>IF(A120="","",IF(AND(C120&gt;=Config!$B$3,G120="No"),"¡Le toca abrir la cápsula!",IF(AND(C120&gt;=Config!$B$2,F120="No"),"¡Le toca llavero con nombre!",IF(C120&lt;Config!$B$2,"Faltan "&amp;D120&amp;" para el llavero","Faltan "&amp;E120&amp;" para la cápsula"))))</f>
        <v/>
      </c>
    </row>
    <row r="121">
      <c r="A121" s="11" t="n"/>
      <c r="B121" s="5">
        <f>IF(A121="","",IFERROR(INDEX(Pedidos!$C$2:$C$501,MATCH(A121,Pedidos!$B$2:$B$501,0)),""))</f>
        <v/>
      </c>
      <c r="C121" s="5">
        <f>IF(A121="","",SUMIFS(Pedidos!$J$2:$J$501,Pedidos!$B$2:$B$501,A121))</f>
        <v/>
      </c>
      <c r="D121" s="5">
        <f>IF(A121="","",MAX(0,Config!$B$2-C121))</f>
        <v/>
      </c>
      <c r="E121" s="5">
        <f>IF(A121="","",MAX(0,Config!$B$3-C121))</f>
        <v/>
      </c>
      <c r="F121" s="5">
        <f>IF(A121="","",IF(COUNTIFS(Pedidos!$B$2:$B$501,A121,Pedidos!$D$2:$D$501,"Canje llavero")&gt;0,"Sí","No"))</f>
        <v/>
      </c>
      <c r="G121" s="5">
        <f>IF(A121="","",IF(COUNTIFS(Pedidos!$B$2:$B$501,A121,Pedidos!$D$2:$D$501,"Canje cápsula")&gt;0,"Sí","No"))</f>
        <v/>
      </c>
      <c r="H121" s="5">
        <f>IF(A121="","",IF(AND(C121&gt;=Config!$B$3,G121="No"),"¡Le toca abrir la cápsula!",IF(AND(C121&gt;=Config!$B$2,F121="No"),"¡Le toca llavero con nombre!",IF(C121&lt;Config!$B$2,"Faltan "&amp;D121&amp;" para el llavero","Faltan "&amp;E121&amp;" para la cápsula"))))</f>
        <v/>
      </c>
    </row>
    <row r="122">
      <c r="A122" s="11" t="n"/>
      <c r="B122" s="5">
        <f>IF(A122="","",IFERROR(INDEX(Pedidos!$C$2:$C$501,MATCH(A122,Pedidos!$B$2:$B$501,0)),""))</f>
        <v/>
      </c>
      <c r="C122" s="5">
        <f>IF(A122="","",SUMIFS(Pedidos!$J$2:$J$501,Pedidos!$B$2:$B$501,A122))</f>
        <v/>
      </c>
      <c r="D122" s="5">
        <f>IF(A122="","",MAX(0,Config!$B$2-C122))</f>
        <v/>
      </c>
      <c r="E122" s="5">
        <f>IF(A122="","",MAX(0,Config!$B$3-C122))</f>
        <v/>
      </c>
      <c r="F122" s="5">
        <f>IF(A122="","",IF(COUNTIFS(Pedidos!$B$2:$B$501,A122,Pedidos!$D$2:$D$501,"Canje llavero")&gt;0,"Sí","No"))</f>
        <v/>
      </c>
      <c r="G122" s="5">
        <f>IF(A122="","",IF(COUNTIFS(Pedidos!$B$2:$B$501,A122,Pedidos!$D$2:$D$501,"Canje cápsula")&gt;0,"Sí","No"))</f>
        <v/>
      </c>
      <c r="H122" s="5">
        <f>IF(A122="","",IF(AND(C122&gt;=Config!$B$3,G122="No"),"¡Le toca abrir la cápsula!",IF(AND(C122&gt;=Config!$B$2,F122="No"),"¡Le toca llavero con nombre!",IF(C122&lt;Config!$B$2,"Faltan "&amp;D122&amp;" para el llavero","Faltan "&amp;E122&amp;" para la cápsula"))))</f>
        <v/>
      </c>
    </row>
    <row r="123">
      <c r="A123" s="11" t="n"/>
      <c r="B123" s="5">
        <f>IF(A123="","",IFERROR(INDEX(Pedidos!$C$2:$C$501,MATCH(A123,Pedidos!$B$2:$B$501,0)),""))</f>
        <v/>
      </c>
      <c r="C123" s="5">
        <f>IF(A123="","",SUMIFS(Pedidos!$J$2:$J$501,Pedidos!$B$2:$B$501,A123))</f>
        <v/>
      </c>
      <c r="D123" s="5">
        <f>IF(A123="","",MAX(0,Config!$B$2-C123))</f>
        <v/>
      </c>
      <c r="E123" s="5">
        <f>IF(A123="","",MAX(0,Config!$B$3-C123))</f>
        <v/>
      </c>
      <c r="F123" s="5">
        <f>IF(A123="","",IF(COUNTIFS(Pedidos!$B$2:$B$501,A123,Pedidos!$D$2:$D$501,"Canje llavero")&gt;0,"Sí","No"))</f>
        <v/>
      </c>
      <c r="G123" s="5">
        <f>IF(A123="","",IF(COUNTIFS(Pedidos!$B$2:$B$501,A123,Pedidos!$D$2:$D$501,"Canje cápsula")&gt;0,"Sí","No"))</f>
        <v/>
      </c>
      <c r="H123" s="5">
        <f>IF(A123="","",IF(AND(C123&gt;=Config!$B$3,G123="No"),"¡Le toca abrir la cápsula!",IF(AND(C123&gt;=Config!$B$2,F123="No"),"¡Le toca llavero con nombre!",IF(C123&lt;Config!$B$2,"Faltan "&amp;D123&amp;" para el llavero","Faltan "&amp;E123&amp;" para la cápsula"))))</f>
        <v/>
      </c>
    </row>
    <row r="124">
      <c r="A124" s="11" t="n"/>
      <c r="B124" s="5">
        <f>IF(A124="","",IFERROR(INDEX(Pedidos!$C$2:$C$501,MATCH(A124,Pedidos!$B$2:$B$501,0)),""))</f>
        <v/>
      </c>
      <c r="C124" s="5">
        <f>IF(A124="","",SUMIFS(Pedidos!$J$2:$J$501,Pedidos!$B$2:$B$501,A124))</f>
        <v/>
      </c>
      <c r="D124" s="5">
        <f>IF(A124="","",MAX(0,Config!$B$2-C124))</f>
        <v/>
      </c>
      <c r="E124" s="5">
        <f>IF(A124="","",MAX(0,Config!$B$3-C124))</f>
        <v/>
      </c>
      <c r="F124" s="5">
        <f>IF(A124="","",IF(COUNTIFS(Pedidos!$B$2:$B$501,A124,Pedidos!$D$2:$D$501,"Canje llavero")&gt;0,"Sí","No"))</f>
        <v/>
      </c>
      <c r="G124" s="5">
        <f>IF(A124="","",IF(COUNTIFS(Pedidos!$B$2:$B$501,A124,Pedidos!$D$2:$D$501,"Canje cápsula")&gt;0,"Sí","No"))</f>
        <v/>
      </c>
      <c r="H124" s="5">
        <f>IF(A124="","",IF(AND(C124&gt;=Config!$B$3,G124="No"),"¡Le toca abrir la cápsula!",IF(AND(C124&gt;=Config!$B$2,F124="No"),"¡Le toca llavero con nombre!",IF(C124&lt;Config!$B$2,"Faltan "&amp;D124&amp;" para el llavero","Faltan "&amp;E124&amp;" para la cápsula"))))</f>
        <v/>
      </c>
    </row>
    <row r="125">
      <c r="A125" s="11" t="n"/>
      <c r="B125" s="5">
        <f>IF(A125="","",IFERROR(INDEX(Pedidos!$C$2:$C$501,MATCH(A125,Pedidos!$B$2:$B$501,0)),""))</f>
        <v/>
      </c>
      <c r="C125" s="5">
        <f>IF(A125="","",SUMIFS(Pedidos!$J$2:$J$501,Pedidos!$B$2:$B$501,A125))</f>
        <v/>
      </c>
      <c r="D125" s="5">
        <f>IF(A125="","",MAX(0,Config!$B$2-C125))</f>
        <v/>
      </c>
      <c r="E125" s="5">
        <f>IF(A125="","",MAX(0,Config!$B$3-C125))</f>
        <v/>
      </c>
      <c r="F125" s="5">
        <f>IF(A125="","",IF(COUNTIFS(Pedidos!$B$2:$B$501,A125,Pedidos!$D$2:$D$501,"Canje llavero")&gt;0,"Sí","No"))</f>
        <v/>
      </c>
      <c r="G125" s="5">
        <f>IF(A125="","",IF(COUNTIFS(Pedidos!$B$2:$B$501,A125,Pedidos!$D$2:$D$501,"Canje cápsula")&gt;0,"Sí","No"))</f>
        <v/>
      </c>
      <c r="H125" s="5">
        <f>IF(A125="","",IF(AND(C125&gt;=Config!$B$3,G125="No"),"¡Le toca abrir la cápsula!",IF(AND(C125&gt;=Config!$B$2,F125="No"),"¡Le toca llavero con nombre!",IF(C125&lt;Config!$B$2,"Faltan "&amp;D125&amp;" para el llavero","Faltan "&amp;E125&amp;" para la cápsula"))))</f>
        <v/>
      </c>
    </row>
    <row r="126">
      <c r="A126" s="11" t="n"/>
      <c r="B126" s="5">
        <f>IF(A126="","",IFERROR(INDEX(Pedidos!$C$2:$C$501,MATCH(A126,Pedidos!$B$2:$B$501,0)),""))</f>
        <v/>
      </c>
      <c r="C126" s="5">
        <f>IF(A126="","",SUMIFS(Pedidos!$J$2:$J$501,Pedidos!$B$2:$B$501,A126))</f>
        <v/>
      </c>
      <c r="D126" s="5">
        <f>IF(A126="","",MAX(0,Config!$B$2-C126))</f>
        <v/>
      </c>
      <c r="E126" s="5">
        <f>IF(A126="","",MAX(0,Config!$B$3-C126))</f>
        <v/>
      </c>
      <c r="F126" s="5">
        <f>IF(A126="","",IF(COUNTIFS(Pedidos!$B$2:$B$501,A126,Pedidos!$D$2:$D$501,"Canje llavero")&gt;0,"Sí","No"))</f>
        <v/>
      </c>
      <c r="G126" s="5">
        <f>IF(A126="","",IF(COUNTIFS(Pedidos!$B$2:$B$501,A126,Pedidos!$D$2:$D$501,"Canje cápsula")&gt;0,"Sí","No"))</f>
        <v/>
      </c>
      <c r="H126" s="5">
        <f>IF(A126="","",IF(AND(C126&gt;=Config!$B$3,G126="No"),"¡Le toca abrir la cápsula!",IF(AND(C126&gt;=Config!$B$2,F126="No"),"¡Le toca llavero con nombre!",IF(C126&lt;Config!$B$2,"Faltan "&amp;D126&amp;" para el llavero","Faltan "&amp;E126&amp;" para la cápsula"))))</f>
        <v/>
      </c>
    </row>
    <row r="127">
      <c r="A127" s="11" t="n"/>
      <c r="B127" s="5">
        <f>IF(A127="","",IFERROR(INDEX(Pedidos!$C$2:$C$501,MATCH(A127,Pedidos!$B$2:$B$501,0)),""))</f>
        <v/>
      </c>
      <c r="C127" s="5">
        <f>IF(A127="","",SUMIFS(Pedidos!$J$2:$J$501,Pedidos!$B$2:$B$501,A127))</f>
        <v/>
      </c>
      <c r="D127" s="5">
        <f>IF(A127="","",MAX(0,Config!$B$2-C127))</f>
        <v/>
      </c>
      <c r="E127" s="5">
        <f>IF(A127="","",MAX(0,Config!$B$3-C127))</f>
        <v/>
      </c>
      <c r="F127" s="5">
        <f>IF(A127="","",IF(COUNTIFS(Pedidos!$B$2:$B$501,A127,Pedidos!$D$2:$D$501,"Canje llavero")&gt;0,"Sí","No"))</f>
        <v/>
      </c>
      <c r="G127" s="5">
        <f>IF(A127="","",IF(COUNTIFS(Pedidos!$B$2:$B$501,A127,Pedidos!$D$2:$D$501,"Canje cápsula")&gt;0,"Sí","No"))</f>
        <v/>
      </c>
      <c r="H127" s="5">
        <f>IF(A127="","",IF(AND(C127&gt;=Config!$B$3,G127="No"),"¡Le toca abrir la cápsula!",IF(AND(C127&gt;=Config!$B$2,F127="No"),"¡Le toca llavero con nombre!",IF(C127&lt;Config!$B$2,"Faltan "&amp;D127&amp;" para el llavero","Faltan "&amp;E127&amp;" para la cápsula"))))</f>
        <v/>
      </c>
    </row>
    <row r="128">
      <c r="A128" s="11" t="n"/>
      <c r="B128" s="5">
        <f>IF(A128="","",IFERROR(INDEX(Pedidos!$C$2:$C$501,MATCH(A128,Pedidos!$B$2:$B$501,0)),""))</f>
        <v/>
      </c>
      <c r="C128" s="5">
        <f>IF(A128="","",SUMIFS(Pedidos!$J$2:$J$501,Pedidos!$B$2:$B$501,A128))</f>
        <v/>
      </c>
      <c r="D128" s="5">
        <f>IF(A128="","",MAX(0,Config!$B$2-C128))</f>
        <v/>
      </c>
      <c r="E128" s="5">
        <f>IF(A128="","",MAX(0,Config!$B$3-C128))</f>
        <v/>
      </c>
      <c r="F128" s="5">
        <f>IF(A128="","",IF(COUNTIFS(Pedidos!$B$2:$B$501,A128,Pedidos!$D$2:$D$501,"Canje llavero")&gt;0,"Sí","No"))</f>
        <v/>
      </c>
      <c r="G128" s="5">
        <f>IF(A128="","",IF(COUNTIFS(Pedidos!$B$2:$B$501,A128,Pedidos!$D$2:$D$501,"Canje cápsula")&gt;0,"Sí","No"))</f>
        <v/>
      </c>
      <c r="H128" s="5">
        <f>IF(A128="","",IF(AND(C128&gt;=Config!$B$3,G128="No"),"¡Le toca abrir la cápsula!",IF(AND(C128&gt;=Config!$B$2,F128="No"),"¡Le toca llavero con nombre!",IF(C128&lt;Config!$B$2,"Faltan "&amp;D128&amp;" para el llavero","Faltan "&amp;E128&amp;" para la cápsula"))))</f>
        <v/>
      </c>
    </row>
    <row r="129">
      <c r="A129" s="11" t="n"/>
      <c r="B129" s="5">
        <f>IF(A129="","",IFERROR(INDEX(Pedidos!$C$2:$C$501,MATCH(A129,Pedidos!$B$2:$B$501,0)),""))</f>
        <v/>
      </c>
      <c r="C129" s="5">
        <f>IF(A129="","",SUMIFS(Pedidos!$J$2:$J$501,Pedidos!$B$2:$B$501,A129))</f>
        <v/>
      </c>
      <c r="D129" s="5">
        <f>IF(A129="","",MAX(0,Config!$B$2-C129))</f>
        <v/>
      </c>
      <c r="E129" s="5">
        <f>IF(A129="","",MAX(0,Config!$B$3-C129))</f>
        <v/>
      </c>
      <c r="F129" s="5">
        <f>IF(A129="","",IF(COUNTIFS(Pedidos!$B$2:$B$501,A129,Pedidos!$D$2:$D$501,"Canje llavero")&gt;0,"Sí","No"))</f>
        <v/>
      </c>
      <c r="G129" s="5">
        <f>IF(A129="","",IF(COUNTIFS(Pedidos!$B$2:$B$501,A129,Pedidos!$D$2:$D$501,"Canje cápsula")&gt;0,"Sí","No"))</f>
        <v/>
      </c>
      <c r="H129" s="5">
        <f>IF(A129="","",IF(AND(C129&gt;=Config!$B$3,G129="No"),"¡Le toca abrir la cápsula!",IF(AND(C129&gt;=Config!$B$2,F129="No"),"¡Le toca llavero con nombre!",IF(C129&lt;Config!$B$2,"Faltan "&amp;D129&amp;" para el llavero","Faltan "&amp;E129&amp;" para la cápsula"))))</f>
        <v/>
      </c>
    </row>
    <row r="130">
      <c r="A130" s="11" t="n"/>
      <c r="B130" s="5">
        <f>IF(A130="","",IFERROR(INDEX(Pedidos!$C$2:$C$501,MATCH(A130,Pedidos!$B$2:$B$501,0)),""))</f>
        <v/>
      </c>
      <c r="C130" s="5">
        <f>IF(A130="","",SUMIFS(Pedidos!$J$2:$J$501,Pedidos!$B$2:$B$501,A130))</f>
        <v/>
      </c>
      <c r="D130" s="5">
        <f>IF(A130="","",MAX(0,Config!$B$2-C130))</f>
        <v/>
      </c>
      <c r="E130" s="5">
        <f>IF(A130="","",MAX(0,Config!$B$3-C130))</f>
        <v/>
      </c>
      <c r="F130" s="5">
        <f>IF(A130="","",IF(COUNTIFS(Pedidos!$B$2:$B$501,A130,Pedidos!$D$2:$D$501,"Canje llavero")&gt;0,"Sí","No"))</f>
        <v/>
      </c>
      <c r="G130" s="5">
        <f>IF(A130="","",IF(COUNTIFS(Pedidos!$B$2:$B$501,A130,Pedidos!$D$2:$D$501,"Canje cápsula")&gt;0,"Sí","No"))</f>
        <v/>
      </c>
      <c r="H130" s="5">
        <f>IF(A130="","",IF(AND(C130&gt;=Config!$B$3,G130="No"),"¡Le toca abrir la cápsula!",IF(AND(C130&gt;=Config!$B$2,F130="No"),"¡Le toca llavero con nombre!",IF(C130&lt;Config!$B$2,"Faltan "&amp;D130&amp;" para el llavero","Faltan "&amp;E130&amp;" para la cápsula"))))</f>
        <v/>
      </c>
    </row>
    <row r="131">
      <c r="A131" s="11" t="n"/>
      <c r="B131" s="5">
        <f>IF(A131="","",IFERROR(INDEX(Pedidos!$C$2:$C$501,MATCH(A131,Pedidos!$B$2:$B$501,0)),""))</f>
        <v/>
      </c>
      <c r="C131" s="5">
        <f>IF(A131="","",SUMIFS(Pedidos!$J$2:$J$501,Pedidos!$B$2:$B$501,A131))</f>
        <v/>
      </c>
      <c r="D131" s="5">
        <f>IF(A131="","",MAX(0,Config!$B$2-C131))</f>
        <v/>
      </c>
      <c r="E131" s="5">
        <f>IF(A131="","",MAX(0,Config!$B$3-C131))</f>
        <v/>
      </c>
      <c r="F131" s="5">
        <f>IF(A131="","",IF(COUNTIFS(Pedidos!$B$2:$B$501,A131,Pedidos!$D$2:$D$501,"Canje llavero")&gt;0,"Sí","No"))</f>
        <v/>
      </c>
      <c r="G131" s="5">
        <f>IF(A131="","",IF(COUNTIFS(Pedidos!$B$2:$B$501,A131,Pedidos!$D$2:$D$501,"Canje cápsula")&gt;0,"Sí","No"))</f>
        <v/>
      </c>
      <c r="H131" s="5">
        <f>IF(A131="","",IF(AND(C131&gt;=Config!$B$3,G131="No"),"¡Le toca abrir la cápsula!",IF(AND(C131&gt;=Config!$B$2,F131="No"),"¡Le toca llavero con nombre!",IF(C131&lt;Config!$B$2,"Faltan "&amp;D131&amp;" para el llavero","Faltan "&amp;E131&amp;" para la cápsula"))))</f>
        <v/>
      </c>
    </row>
    <row r="132">
      <c r="A132" s="11" t="n"/>
      <c r="B132" s="5">
        <f>IF(A132="","",IFERROR(INDEX(Pedidos!$C$2:$C$501,MATCH(A132,Pedidos!$B$2:$B$501,0)),""))</f>
        <v/>
      </c>
      <c r="C132" s="5">
        <f>IF(A132="","",SUMIFS(Pedidos!$J$2:$J$501,Pedidos!$B$2:$B$501,A132))</f>
        <v/>
      </c>
      <c r="D132" s="5">
        <f>IF(A132="","",MAX(0,Config!$B$2-C132))</f>
        <v/>
      </c>
      <c r="E132" s="5">
        <f>IF(A132="","",MAX(0,Config!$B$3-C132))</f>
        <v/>
      </c>
      <c r="F132" s="5">
        <f>IF(A132="","",IF(COUNTIFS(Pedidos!$B$2:$B$501,A132,Pedidos!$D$2:$D$501,"Canje llavero")&gt;0,"Sí","No"))</f>
        <v/>
      </c>
      <c r="G132" s="5">
        <f>IF(A132="","",IF(COUNTIFS(Pedidos!$B$2:$B$501,A132,Pedidos!$D$2:$D$501,"Canje cápsula")&gt;0,"Sí","No"))</f>
        <v/>
      </c>
      <c r="H132" s="5">
        <f>IF(A132="","",IF(AND(C132&gt;=Config!$B$3,G132="No"),"¡Le toca abrir la cápsula!",IF(AND(C132&gt;=Config!$B$2,F132="No"),"¡Le toca llavero con nombre!",IF(C132&lt;Config!$B$2,"Faltan "&amp;D132&amp;" para el llavero","Faltan "&amp;E132&amp;" para la cápsula"))))</f>
        <v/>
      </c>
    </row>
    <row r="133">
      <c r="A133" s="11" t="n"/>
      <c r="B133" s="5">
        <f>IF(A133="","",IFERROR(INDEX(Pedidos!$C$2:$C$501,MATCH(A133,Pedidos!$B$2:$B$501,0)),""))</f>
        <v/>
      </c>
      <c r="C133" s="5">
        <f>IF(A133="","",SUMIFS(Pedidos!$J$2:$J$501,Pedidos!$B$2:$B$501,A133))</f>
        <v/>
      </c>
      <c r="D133" s="5">
        <f>IF(A133="","",MAX(0,Config!$B$2-C133))</f>
        <v/>
      </c>
      <c r="E133" s="5">
        <f>IF(A133="","",MAX(0,Config!$B$3-C133))</f>
        <v/>
      </c>
      <c r="F133" s="5">
        <f>IF(A133="","",IF(COUNTIFS(Pedidos!$B$2:$B$501,A133,Pedidos!$D$2:$D$501,"Canje llavero")&gt;0,"Sí","No"))</f>
        <v/>
      </c>
      <c r="G133" s="5">
        <f>IF(A133="","",IF(COUNTIFS(Pedidos!$B$2:$B$501,A133,Pedidos!$D$2:$D$501,"Canje cápsula")&gt;0,"Sí","No"))</f>
        <v/>
      </c>
      <c r="H133" s="5">
        <f>IF(A133="","",IF(AND(C133&gt;=Config!$B$3,G133="No"),"¡Le toca abrir la cápsula!",IF(AND(C133&gt;=Config!$B$2,F133="No"),"¡Le toca llavero con nombre!",IF(C133&lt;Config!$B$2,"Faltan "&amp;D133&amp;" para el llavero","Faltan "&amp;E133&amp;" para la cápsula"))))</f>
        <v/>
      </c>
    </row>
    <row r="134">
      <c r="A134" s="11" t="n"/>
      <c r="B134" s="5">
        <f>IF(A134="","",IFERROR(INDEX(Pedidos!$C$2:$C$501,MATCH(A134,Pedidos!$B$2:$B$501,0)),""))</f>
        <v/>
      </c>
      <c r="C134" s="5">
        <f>IF(A134="","",SUMIFS(Pedidos!$J$2:$J$501,Pedidos!$B$2:$B$501,A134))</f>
        <v/>
      </c>
      <c r="D134" s="5">
        <f>IF(A134="","",MAX(0,Config!$B$2-C134))</f>
        <v/>
      </c>
      <c r="E134" s="5">
        <f>IF(A134="","",MAX(0,Config!$B$3-C134))</f>
        <v/>
      </c>
      <c r="F134" s="5">
        <f>IF(A134="","",IF(COUNTIFS(Pedidos!$B$2:$B$501,A134,Pedidos!$D$2:$D$501,"Canje llavero")&gt;0,"Sí","No"))</f>
        <v/>
      </c>
      <c r="G134" s="5">
        <f>IF(A134="","",IF(COUNTIFS(Pedidos!$B$2:$B$501,A134,Pedidos!$D$2:$D$501,"Canje cápsula")&gt;0,"Sí","No"))</f>
        <v/>
      </c>
      <c r="H134" s="5">
        <f>IF(A134="","",IF(AND(C134&gt;=Config!$B$3,G134="No"),"¡Le toca abrir la cápsula!",IF(AND(C134&gt;=Config!$B$2,F134="No"),"¡Le toca llavero con nombre!",IF(C134&lt;Config!$B$2,"Faltan "&amp;D134&amp;" para el llavero","Faltan "&amp;E134&amp;" para la cápsula"))))</f>
        <v/>
      </c>
    </row>
    <row r="135">
      <c r="A135" s="11" t="n"/>
      <c r="B135" s="5">
        <f>IF(A135="","",IFERROR(INDEX(Pedidos!$C$2:$C$501,MATCH(A135,Pedidos!$B$2:$B$501,0)),""))</f>
        <v/>
      </c>
      <c r="C135" s="5">
        <f>IF(A135="","",SUMIFS(Pedidos!$J$2:$J$501,Pedidos!$B$2:$B$501,A135))</f>
        <v/>
      </c>
      <c r="D135" s="5">
        <f>IF(A135="","",MAX(0,Config!$B$2-C135))</f>
        <v/>
      </c>
      <c r="E135" s="5">
        <f>IF(A135="","",MAX(0,Config!$B$3-C135))</f>
        <v/>
      </c>
      <c r="F135" s="5">
        <f>IF(A135="","",IF(COUNTIFS(Pedidos!$B$2:$B$501,A135,Pedidos!$D$2:$D$501,"Canje llavero")&gt;0,"Sí","No"))</f>
        <v/>
      </c>
      <c r="G135" s="5">
        <f>IF(A135="","",IF(COUNTIFS(Pedidos!$B$2:$B$501,A135,Pedidos!$D$2:$D$501,"Canje cápsula")&gt;0,"Sí","No"))</f>
        <v/>
      </c>
      <c r="H135" s="5">
        <f>IF(A135="","",IF(AND(C135&gt;=Config!$B$3,G135="No"),"¡Le toca abrir la cápsula!",IF(AND(C135&gt;=Config!$B$2,F135="No"),"¡Le toca llavero con nombre!",IF(C135&lt;Config!$B$2,"Faltan "&amp;D135&amp;" para el llavero","Faltan "&amp;E135&amp;" para la cápsula"))))</f>
        <v/>
      </c>
    </row>
    <row r="136">
      <c r="A136" s="11" t="n"/>
      <c r="B136" s="5">
        <f>IF(A136="","",IFERROR(INDEX(Pedidos!$C$2:$C$501,MATCH(A136,Pedidos!$B$2:$B$501,0)),""))</f>
        <v/>
      </c>
      <c r="C136" s="5">
        <f>IF(A136="","",SUMIFS(Pedidos!$J$2:$J$501,Pedidos!$B$2:$B$501,A136))</f>
        <v/>
      </c>
      <c r="D136" s="5">
        <f>IF(A136="","",MAX(0,Config!$B$2-C136))</f>
        <v/>
      </c>
      <c r="E136" s="5">
        <f>IF(A136="","",MAX(0,Config!$B$3-C136))</f>
        <v/>
      </c>
      <c r="F136" s="5">
        <f>IF(A136="","",IF(COUNTIFS(Pedidos!$B$2:$B$501,A136,Pedidos!$D$2:$D$501,"Canje llavero")&gt;0,"Sí","No"))</f>
        <v/>
      </c>
      <c r="G136" s="5">
        <f>IF(A136="","",IF(COUNTIFS(Pedidos!$B$2:$B$501,A136,Pedidos!$D$2:$D$501,"Canje cápsula")&gt;0,"Sí","No"))</f>
        <v/>
      </c>
      <c r="H136" s="5">
        <f>IF(A136="","",IF(AND(C136&gt;=Config!$B$3,G136="No"),"¡Le toca abrir la cápsula!",IF(AND(C136&gt;=Config!$B$2,F136="No"),"¡Le toca llavero con nombre!",IF(C136&lt;Config!$B$2,"Faltan "&amp;D136&amp;" para el llavero","Faltan "&amp;E136&amp;" para la cápsula"))))</f>
        <v/>
      </c>
    </row>
    <row r="137">
      <c r="A137" s="11" t="n"/>
      <c r="B137" s="5">
        <f>IF(A137="","",IFERROR(INDEX(Pedidos!$C$2:$C$501,MATCH(A137,Pedidos!$B$2:$B$501,0)),""))</f>
        <v/>
      </c>
      <c r="C137" s="5">
        <f>IF(A137="","",SUMIFS(Pedidos!$J$2:$J$501,Pedidos!$B$2:$B$501,A137))</f>
        <v/>
      </c>
      <c r="D137" s="5">
        <f>IF(A137="","",MAX(0,Config!$B$2-C137))</f>
        <v/>
      </c>
      <c r="E137" s="5">
        <f>IF(A137="","",MAX(0,Config!$B$3-C137))</f>
        <v/>
      </c>
      <c r="F137" s="5">
        <f>IF(A137="","",IF(COUNTIFS(Pedidos!$B$2:$B$501,A137,Pedidos!$D$2:$D$501,"Canje llavero")&gt;0,"Sí","No"))</f>
        <v/>
      </c>
      <c r="G137" s="5">
        <f>IF(A137="","",IF(COUNTIFS(Pedidos!$B$2:$B$501,A137,Pedidos!$D$2:$D$501,"Canje cápsula")&gt;0,"Sí","No"))</f>
        <v/>
      </c>
      <c r="H137" s="5">
        <f>IF(A137="","",IF(AND(C137&gt;=Config!$B$3,G137="No"),"¡Le toca abrir la cápsula!",IF(AND(C137&gt;=Config!$B$2,F137="No"),"¡Le toca llavero con nombre!",IF(C137&lt;Config!$B$2,"Faltan "&amp;D137&amp;" para el llavero","Faltan "&amp;E137&amp;" para la cápsula"))))</f>
        <v/>
      </c>
    </row>
    <row r="138">
      <c r="A138" s="11" t="n"/>
      <c r="B138" s="5">
        <f>IF(A138="","",IFERROR(INDEX(Pedidos!$C$2:$C$501,MATCH(A138,Pedidos!$B$2:$B$501,0)),""))</f>
        <v/>
      </c>
      <c r="C138" s="5">
        <f>IF(A138="","",SUMIFS(Pedidos!$J$2:$J$501,Pedidos!$B$2:$B$501,A138))</f>
        <v/>
      </c>
      <c r="D138" s="5">
        <f>IF(A138="","",MAX(0,Config!$B$2-C138))</f>
        <v/>
      </c>
      <c r="E138" s="5">
        <f>IF(A138="","",MAX(0,Config!$B$3-C138))</f>
        <v/>
      </c>
      <c r="F138" s="5">
        <f>IF(A138="","",IF(COUNTIFS(Pedidos!$B$2:$B$501,A138,Pedidos!$D$2:$D$501,"Canje llavero")&gt;0,"Sí","No"))</f>
        <v/>
      </c>
      <c r="G138" s="5">
        <f>IF(A138="","",IF(COUNTIFS(Pedidos!$B$2:$B$501,A138,Pedidos!$D$2:$D$501,"Canje cápsula")&gt;0,"Sí","No"))</f>
        <v/>
      </c>
      <c r="H138" s="5">
        <f>IF(A138="","",IF(AND(C138&gt;=Config!$B$3,G138="No"),"¡Le toca abrir la cápsula!",IF(AND(C138&gt;=Config!$B$2,F138="No"),"¡Le toca llavero con nombre!",IF(C138&lt;Config!$B$2,"Faltan "&amp;D138&amp;" para el llavero","Faltan "&amp;E138&amp;" para la cápsula"))))</f>
        <v/>
      </c>
    </row>
    <row r="139">
      <c r="A139" s="11" t="n"/>
      <c r="B139" s="5">
        <f>IF(A139="","",IFERROR(INDEX(Pedidos!$C$2:$C$501,MATCH(A139,Pedidos!$B$2:$B$501,0)),""))</f>
        <v/>
      </c>
      <c r="C139" s="5">
        <f>IF(A139="","",SUMIFS(Pedidos!$J$2:$J$501,Pedidos!$B$2:$B$501,A139))</f>
        <v/>
      </c>
      <c r="D139" s="5">
        <f>IF(A139="","",MAX(0,Config!$B$2-C139))</f>
        <v/>
      </c>
      <c r="E139" s="5">
        <f>IF(A139="","",MAX(0,Config!$B$3-C139))</f>
        <v/>
      </c>
      <c r="F139" s="5">
        <f>IF(A139="","",IF(COUNTIFS(Pedidos!$B$2:$B$501,A139,Pedidos!$D$2:$D$501,"Canje llavero")&gt;0,"Sí","No"))</f>
        <v/>
      </c>
      <c r="G139" s="5">
        <f>IF(A139="","",IF(COUNTIFS(Pedidos!$B$2:$B$501,A139,Pedidos!$D$2:$D$501,"Canje cápsula")&gt;0,"Sí","No"))</f>
        <v/>
      </c>
      <c r="H139" s="5">
        <f>IF(A139="","",IF(AND(C139&gt;=Config!$B$3,G139="No"),"¡Le toca abrir la cápsula!",IF(AND(C139&gt;=Config!$B$2,F139="No"),"¡Le toca llavero con nombre!",IF(C139&lt;Config!$B$2,"Faltan "&amp;D139&amp;" para el llavero","Faltan "&amp;E139&amp;" para la cápsula"))))</f>
        <v/>
      </c>
    </row>
    <row r="140">
      <c r="A140" s="11" t="n"/>
      <c r="B140" s="5">
        <f>IF(A140="","",IFERROR(INDEX(Pedidos!$C$2:$C$501,MATCH(A140,Pedidos!$B$2:$B$501,0)),""))</f>
        <v/>
      </c>
      <c r="C140" s="5">
        <f>IF(A140="","",SUMIFS(Pedidos!$J$2:$J$501,Pedidos!$B$2:$B$501,A140))</f>
        <v/>
      </c>
      <c r="D140" s="5">
        <f>IF(A140="","",MAX(0,Config!$B$2-C140))</f>
        <v/>
      </c>
      <c r="E140" s="5">
        <f>IF(A140="","",MAX(0,Config!$B$3-C140))</f>
        <v/>
      </c>
      <c r="F140" s="5">
        <f>IF(A140="","",IF(COUNTIFS(Pedidos!$B$2:$B$501,A140,Pedidos!$D$2:$D$501,"Canje llavero")&gt;0,"Sí","No"))</f>
        <v/>
      </c>
      <c r="G140" s="5">
        <f>IF(A140="","",IF(COUNTIFS(Pedidos!$B$2:$B$501,A140,Pedidos!$D$2:$D$501,"Canje cápsula")&gt;0,"Sí","No"))</f>
        <v/>
      </c>
      <c r="H140" s="5">
        <f>IF(A140="","",IF(AND(C140&gt;=Config!$B$3,G140="No"),"¡Le toca abrir la cápsula!",IF(AND(C140&gt;=Config!$B$2,F140="No"),"¡Le toca llavero con nombre!",IF(C140&lt;Config!$B$2,"Faltan "&amp;D140&amp;" para el llavero","Faltan "&amp;E140&amp;" para la cápsula"))))</f>
        <v/>
      </c>
    </row>
    <row r="141">
      <c r="A141" s="11" t="n"/>
      <c r="B141" s="5">
        <f>IF(A141="","",IFERROR(INDEX(Pedidos!$C$2:$C$501,MATCH(A141,Pedidos!$B$2:$B$501,0)),""))</f>
        <v/>
      </c>
      <c r="C141" s="5">
        <f>IF(A141="","",SUMIFS(Pedidos!$J$2:$J$501,Pedidos!$B$2:$B$501,A141))</f>
        <v/>
      </c>
      <c r="D141" s="5">
        <f>IF(A141="","",MAX(0,Config!$B$2-C141))</f>
        <v/>
      </c>
      <c r="E141" s="5">
        <f>IF(A141="","",MAX(0,Config!$B$3-C141))</f>
        <v/>
      </c>
      <c r="F141" s="5">
        <f>IF(A141="","",IF(COUNTIFS(Pedidos!$B$2:$B$501,A141,Pedidos!$D$2:$D$501,"Canje llavero")&gt;0,"Sí","No"))</f>
        <v/>
      </c>
      <c r="G141" s="5">
        <f>IF(A141="","",IF(COUNTIFS(Pedidos!$B$2:$B$501,A141,Pedidos!$D$2:$D$501,"Canje cápsula")&gt;0,"Sí","No"))</f>
        <v/>
      </c>
      <c r="H141" s="5">
        <f>IF(A141="","",IF(AND(C141&gt;=Config!$B$3,G141="No"),"¡Le toca abrir la cápsula!",IF(AND(C141&gt;=Config!$B$2,F141="No"),"¡Le toca llavero con nombre!",IF(C141&lt;Config!$B$2,"Faltan "&amp;D141&amp;" para el llavero","Faltan "&amp;E141&amp;" para la cápsula"))))</f>
        <v/>
      </c>
    </row>
    <row r="142">
      <c r="A142" s="11" t="n"/>
      <c r="B142" s="5">
        <f>IF(A142="","",IFERROR(INDEX(Pedidos!$C$2:$C$501,MATCH(A142,Pedidos!$B$2:$B$501,0)),""))</f>
        <v/>
      </c>
      <c r="C142" s="5">
        <f>IF(A142="","",SUMIFS(Pedidos!$J$2:$J$501,Pedidos!$B$2:$B$501,A142))</f>
        <v/>
      </c>
      <c r="D142" s="5">
        <f>IF(A142="","",MAX(0,Config!$B$2-C142))</f>
        <v/>
      </c>
      <c r="E142" s="5">
        <f>IF(A142="","",MAX(0,Config!$B$3-C142))</f>
        <v/>
      </c>
      <c r="F142" s="5">
        <f>IF(A142="","",IF(COUNTIFS(Pedidos!$B$2:$B$501,A142,Pedidos!$D$2:$D$501,"Canje llavero")&gt;0,"Sí","No"))</f>
        <v/>
      </c>
      <c r="G142" s="5">
        <f>IF(A142="","",IF(COUNTIFS(Pedidos!$B$2:$B$501,A142,Pedidos!$D$2:$D$501,"Canje cápsula")&gt;0,"Sí","No"))</f>
        <v/>
      </c>
      <c r="H142" s="5">
        <f>IF(A142="","",IF(AND(C142&gt;=Config!$B$3,G142="No"),"¡Le toca abrir la cápsula!",IF(AND(C142&gt;=Config!$B$2,F142="No"),"¡Le toca llavero con nombre!",IF(C142&lt;Config!$B$2,"Faltan "&amp;D142&amp;" para el llavero","Faltan "&amp;E142&amp;" para la cápsula"))))</f>
        <v/>
      </c>
    </row>
    <row r="143">
      <c r="A143" s="11" t="n"/>
      <c r="B143" s="5">
        <f>IF(A143="","",IFERROR(INDEX(Pedidos!$C$2:$C$501,MATCH(A143,Pedidos!$B$2:$B$501,0)),""))</f>
        <v/>
      </c>
      <c r="C143" s="5">
        <f>IF(A143="","",SUMIFS(Pedidos!$J$2:$J$501,Pedidos!$B$2:$B$501,A143))</f>
        <v/>
      </c>
      <c r="D143" s="5">
        <f>IF(A143="","",MAX(0,Config!$B$2-C143))</f>
        <v/>
      </c>
      <c r="E143" s="5">
        <f>IF(A143="","",MAX(0,Config!$B$3-C143))</f>
        <v/>
      </c>
      <c r="F143" s="5">
        <f>IF(A143="","",IF(COUNTIFS(Pedidos!$B$2:$B$501,A143,Pedidos!$D$2:$D$501,"Canje llavero")&gt;0,"Sí","No"))</f>
        <v/>
      </c>
      <c r="G143" s="5">
        <f>IF(A143="","",IF(COUNTIFS(Pedidos!$B$2:$B$501,A143,Pedidos!$D$2:$D$501,"Canje cápsula")&gt;0,"Sí","No"))</f>
        <v/>
      </c>
      <c r="H143" s="5">
        <f>IF(A143="","",IF(AND(C143&gt;=Config!$B$3,G143="No"),"¡Le toca abrir la cápsula!",IF(AND(C143&gt;=Config!$B$2,F143="No"),"¡Le toca llavero con nombre!",IF(C143&lt;Config!$B$2,"Faltan "&amp;D143&amp;" para el llavero","Faltan "&amp;E143&amp;" para la cápsula"))))</f>
        <v/>
      </c>
    </row>
    <row r="144">
      <c r="A144" s="11" t="n"/>
      <c r="B144" s="5">
        <f>IF(A144="","",IFERROR(INDEX(Pedidos!$C$2:$C$501,MATCH(A144,Pedidos!$B$2:$B$501,0)),""))</f>
        <v/>
      </c>
      <c r="C144" s="5">
        <f>IF(A144="","",SUMIFS(Pedidos!$J$2:$J$501,Pedidos!$B$2:$B$501,A144))</f>
        <v/>
      </c>
      <c r="D144" s="5">
        <f>IF(A144="","",MAX(0,Config!$B$2-C144))</f>
        <v/>
      </c>
      <c r="E144" s="5">
        <f>IF(A144="","",MAX(0,Config!$B$3-C144))</f>
        <v/>
      </c>
      <c r="F144" s="5">
        <f>IF(A144="","",IF(COUNTIFS(Pedidos!$B$2:$B$501,A144,Pedidos!$D$2:$D$501,"Canje llavero")&gt;0,"Sí","No"))</f>
        <v/>
      </c>
      <c r="G144" s="5">
        <f>IF(A144="","",IF(COUNTIFS(Pedidos!$B$2:$B$501,A144,Pedidos!$D$2:$D$501,"Canje cápsula")&gt;0,"Sí","No"))</f>
        <v/>
      </c>
      <c r="H144" s="5">
        <f>IF(A144="","",IF(AND(C144&gt;=Config!$B$3,G144="No"),"¡Le toca abrir la cápsula!",IF(AND(C144&gt;=Config!$B$2,F144="No"),"¡Le toca llavero con nombre!",IF(C144&lt;Config!$B$2,"Faltan "&amp;D144&amp;" para el llavero","Faltan "&amp;E144&amp;" para la cápsula"))))</f>
        <v/>
      </c>
    </row>
    <row r="145">
      <c r="A145" s="11" t="n"/>
      <c r="B145" s="5">
        <f>IF(A145="","",IFERROR(INDEX(Pedidos!$C$2:$C$501,MATCH(A145,Pedidos!$B$2:$B$501,0)),""))</f>
        <v/>
      </c>
      <c r="C145" s="5">
        <f>IF(A145="","",SUMIFS(Pedidos!$J$2:$J$501,Pedidos!$B$2:$B$501,A145))</f>
        <v/>
      </c>
      <c r="D145" s="5">
        <f>IF(A145="","",MAX(0,Config!$B$2-C145))</f>
        <v/>
      </c>
      <c r="E145" s="5">
        <f>IF(A145="","",MAX(0,Config!$B$3-C145))</f>
        <v/>
      </c>
      <c r="F145" s="5">
        <f>IF(A145="","",IF(COUNTIFS(Pedidos!$B$2:$B$501,A145,Pedidos!$D$2:$D$501,"Canje llavero")&gt;0,"Sí","No"))</f>
        <v/>
      </c>
      <c r="G145" s="5">
        <f>IF(A145="","",IF(COUNTIFS(Pedidos!$B$2:$B$501,A145,Pedidos!$D$2:$D$501,"Canje cápsula")&gt;0,"Sí","No"))</f>
        <v/>
      </c>
      <c r="H145" s="5">
        <f>IF(A145="","",IF(AND(C145&gt;=Config!$B$3,G145="No"),"¡Le toca abrir la cápsula!",IF(AND(C145&gt;=Config!$B$2,F145="No"),"¡Le toca llavero con nombre!",IF(C145&lt;Config!$B$2,"Faltan "&amp;D145&amp;" para el llavero","Faltan "&amp;E145&amp;" para la cápsula"))))</f>
        <v/>
      </c>
    </row>
    <row r="146">
      <c r="A146" s="11" t="n"/>
      <c r="B146" s="5">
        <f>IF(A146="","",IFERROR(INDEX(Pedidos!$C$2:$C$501,MATCH(A146,Pedidos!$B$2:$B$501,0)),""))</f>
        <v/>
      </c>
      <c r="C146" s="5">
        <f>IF(A146="","",SUMIFS(Pedidos!$J$2:$J$501,Pedidos!$B$2:$B$501,A146))</f>
        <v/>
      </c>
      <c r="D146" s="5">
        <f>IF(A146="","",MAX(0,Config!$B$2-C146))</f>
        <v/>
      </c>
      <c r="E146" s="5">
        <f>IF(A146="","",MAX(0,Config!$B$3-C146))</f>
        <v/>
      </c>
      <c r="F146" s="5">
        <f>IF(A146="","",IF(COUNTIFS(Pedidos!$B$2:$B$501,A146,Pedidos!$D$2:$D$501,"Canje llavero")&gt;0,"Sí","No"))</f>
        <v/>
      </c>
      <c r="G146" s="5">
        <f>IF(A146="","",IF(COUNTIFS(Pedidos!$B$2:$B$501,A146,Pedidos!$D$2:$D$501,"Canje cápsula")&gt;0,"Sí","No"))</f>
        <v/>
      </c>
      <c r="H146" s="5">
        <f>IF(A146="","",IF(AND(C146&gt;=Config!$B$3,G146="No"),"¡Le toca abrir la cápsula!",IF(AND(C146&gt;=Config!$B$2,F146="No"),"¡Le toca llavero con nombre!",IF(C146&lt;Config!$B$2,"Faltan "&amp;D146&amp;" para el llavero","Faltan "&amp;E146&amp;" para la cápsula"))))</f>
        <v/>
      </c>
    </row>
    <row r="147">
      <c r="A147" s="11" t="n"/>
      <c r="B147" s="5">
        <f>IF(A147="","",IFERROR(INDEX(Pedidos!$C$2:$C$501,MATCH(A147,Pedidos!$B$2:$B$501,0)),""))</f>
        <v/>
      </c>
      <c r="C147" s="5">
        <f>IF(A147="","",SUMIFS(Pedidos!$J$2:$J$501,Pedidos!$B$2:$B$501,A147))</f>
        <v/>
      </c>
      <c r="D147" s="5">
        <f>IF(A147="","",MAX(0,Config!$B$2-C147))</f>
        <v/>
      </c>
      <c r="E147" s="5">
        <f>IF(A147="","",MAX(0,Config!$B$3-C147))</f>
        <v/>
      </c>
      <c r="F147" s="5">
        <f>IF(A147="","",IF(COUNTIFS(Pedidos!$B$2:$B$501,A147,Pedidos!$D$2:$D$501,"Canje llavero")&gt;0,"Sí","No"))</f>
        <v/>
      </c>
      <c r="G147" s="5">
        <f>IF(A147="","",IF(COUNTIFS(Pedidos!$B$2:$B$501,A147,Pedidos!$D$2:$D$501,"Canje cápsula")&gt;0,"Sí","No"))</f>
        <v/>
      </c>
      <c r="H147" s="5">
        <f>IF(A147="","",IF(AND(C147&gt;=Config!$B$3,G147="No"),"¡Le toca abrir la cápsula!",IF(AND(C147&gt;=Config!$B$2,F147="No"),"¡Le toca llavero con nombre!",IF(C147&lt;Config!$B$2,"Faltan "&amp;D147&amp;" para el llavero","Faltan "&amp;E147&amp;" para la cápsula"))))</f>
        <v/>
      </c>
    </row>
    <row r="148">
      <c r="A148" s="11" t="n"/>
      <c r="B148" s="5">
        <f>IF(A148="","",IFERROR(INDEX(Pedidos!$C$2:$C$501,MATCH(A148,Pedidos!$B$2:$B$501,0)),""))</f>
        <v/>
      </c>
      <c r="C148" s="5">
        <f>IF(A148="","",SUMIFS(Pedidos!$J$2:$J$501,Pedidos!$B$2:$B$501,A148))</f>
        <v/>
      </c>
      <c r="D148" s="5">
        <f>IF(A148="","",MAX(0,Config!$B$2-C148))</f>
        <v/>
      </c>
      <c r="E148" s="5">
        <f>IF(A148="","",MAX(0,Config!$B$3-C148))</f>
        <v/>
      </c>
      <c r="F148" s="5">
        <f>IF(A148="","",IF(COUNTIFS(Pedidos!$B$2:$B$501,A148,Pedidos!$D$2:$D$501,"Canje llavero")&gt;0,"Sí","No"))</f>
        <v/>
      </c>
      <c r="G148" s="5">
        <f>IF(A148="","",IF(COUNTIFS(Pedidos!$B$2:$B$501,A148,Pedidos!$D$2:$D$501,"Canje cápsula")&gt;0,"Sí","No"))</f>
        <v/>
      </c>
      <c r="H148" s="5">
        <f>IF(A148="","",IF(AND(C148&gt;=Config!$B$3,G148="No"),"¡Le toca abrir la cápsula!",IF(AND(C148&gt;=Config!$B$2,F148="No"),"¡Le toca llavero con nombre!",IF(C148&lt;Config!$B$2,"Faltan "&amp;D148&amp;" para el llavero","Faltan "&amp;E148&amp;" para la cápsula"))))</f>
        <v/>
      </c>
    </row>
    <row r="149">
      <c r="A149" s="11" t="n"/>
      <c r="B149" s="5">
        <f>IF(A149="","",IFERROR(INDEX(Pedidos!$C$2:$C$501,MATCH(A149,Pedidos!$B$2:$B$501,0)),""))</f>
        <v/>
      </c>
      <c r="C149" s="5">
        <f>IF(A149="","",SUMIFS(Pedidos!$J$2:$J$501,Pedidos!$B$2:$B$501,A149))</f>
        <v/>
      </c>
      <c r="D149" s="5">
        <f>IF(A149="","",MAX(0,Config!$B$2-C149))</f>
        <v/>
      </c>
      <c r="E149" s="5">
        <f>IF(A149="","",MAX(0,Config!$B$3-C149))</f>
        <v/>
      </c>
      <c r="F149" s="5">
        <f>IF(A149="","",IF(COUNTIFS(Pedidos!$B$2:$B$501,A149,Pedidos!$D$2:$D$501,"Canje llavero")&gt;0,"Sí","No"))</f>
        <v/>
      </c>
      <c r="G149" s="5">
        <f>IF(A149="","",IF(COUNTIFS(Pedidos!$B$2:$B$501,A149,Pedidos!$D$2:$D$501,"Canje cápsula")&gt;0,"Sí","No"))</f>
        <v/>
      </c>
      <c r="H149" s="5">
        <f>IF(A149="","",IF(AND(C149&gt;=Config!$B$3,G149="No"),"¡Le toca abrir la cápsula!",IF(AND(C149&gt;=Config!$B$2,F149="No"),"¡Le toca llavero con nombre!",IF(C149&lt;Config!$B$2,"Faltan "&amp;D149&amp;" para el llavero","Faltan "&amp;E149&amp;" para la cápsula"))))</f>
        <v/>
      </c>
    </row>
    <row r="150">
      <c r="A150" s="11" t="n"/>
      <c r="B150" s="5">
        <f>IF(A150="","",IFERROR(INDEX(Pedidos!$C$2:$C$501,MATCH(A150,Pedidos!$B$2:$B$501,0)),""))</f>
        <v/>
      </c>
      <c r="C150" s="5">
        <f>IF(A150="","",SUMIFS(Pedidos!$J$2:$J$501,Pedidos!$B$2:$B$501,A150))</f>
        <v/>
      </c>
      <c r="D150" s="5">
        <f>IF(A150="","",MAX(0,Config!$B$2-C150))</f>
        <v/>
      </c>
      <c r="E150" s="5">
        <f>IF(A150="","",MAX(0,Config!$B$3-C150))</f>
        <v/>
      </c>
      <c r="F150" s="5">
        <f>IF(A150="","",IF(COUNTIFS(Pedidos!$B$2:$B$501,A150,Pedidos!$D$2:$D$501,"Canje llavero")&gt;0,"Sí","No"))</f>
        <v/>
      </c>
      <c r="G150" s="5">
        <f>IF(A150="","",IF(COUNTIFS(Pedidos!$B$2:$B$501,A150,Pedidos!$D$2:$D$501,"Canje cápsula")&gt;0,"Sí","No"))</f>
        <v/>
      </c>
      <c r="H150" s="5">
        <f>IF(A150="","",IF(AND(C150&gt;=Config!$B$3,G150="No"),"¡Le toca abrir la cápsula!",IF(AND(C150&gt;=Config!$B$2,F150="No"),"¡Le toca llavero con nombre!",IF(C150&lt;Config!$B$2,"Faltan "&amp;D150&amp;" para el llavero","Faltan "&amp;E150&amp;" para la cápsula"))))</f>
        <v/>
      </c>
    </row>
    <row r="151">
      <c r="A151" s="11" t="n"/>
      <c r="B151" s="5">
        <f>IF(A151="","",IFERROR(INDEX(Pedidos!$C$2:$C$501,MATCH(A151,Pedidos!$B$2:$B$501,0)),""))</f>
        <v/>
      </c>
      <c r="C151" s="5">
        <f>IF(A151="","",SUMIFS(Pedidos!$J$2:$J$501,Pedidos!$B$2:$B$501,A151))</f>
        <v/>
      </c>
      <c r="D151" s="5">
        <f>IF(A151="","",MAX(0,Config!$B$2-C151))</f>
        <v/>
      </c>
      <c r="E151" s="5">
        <f>IF(A151="","",MAX(0,Config!$B$3-C151))</f>
        <v/>
      </c>
      <c r="F151" s="5">
        <f>IF(A151="","",IF(COUNTIFS(Pedidos!$B$2:$B$501,A151,Pedidos!$D$2:$D$501,"Canje llavero")&gt;0,"Sí","No"))</f>
        <v/>
      </c>
      <c r="G151" s="5">
        <f>IF(A151="","",IF(COUNTIFS(Pedidos!$B$2:$B$501,A151,Pedidos!$D$2:$D$501,"Canje cápsula")&gt;0,"Sí","No"))</f>
        <v/>
      </c>
      <c r="H151" s="5">
        <f>IF(A151="","",IF(AND(C151&gt;=Config!$B$3,G151="No"),"¡Le toca abrir la cápsula!",IF(AND(C151&gt;=Config!$B$2,F151="No"),"¡Le toca llavero con nombre!",IF(C151&lt;Config!$B$2,"Faltan "&amp;D151&amp;" para el llavero","Faltan "&amp;E151&amp;" para la cápsula"))))</f>
        <v/>
      </c>
    </row>
    <row r="152">
      <c r="A152" s="11" t="n"/>
      <c r="B152" s="5">
        <f>IF(A152="","",IFERROR(INDEX(Pedidos!$C$2:$C$501,MATCH(A152,Pedidos!$B$2:$B$501,0)),""))</f>
        <v/>
      </c>
      <c r="C152" s="5">
        <f>IF(A152="","",SUMIFS(Pedidos!$J$2:$J$501,Pedidos!$B$2:$B$501,A152))</f>
        <v/>
      </c>
      <c r="D152" s="5">
        <f>IF(A152="","",MAX(0,Config!$B$2-C152))</f>
        <v/>
      </c>
      <c r="E152" s="5">
        <f>IF(A152="","",MAX(0,Config!$B$3-C152))</f>
        <v/>
      </c>
      <c r="F152" s="5">
        <f>IF(A152="","",IF(COUNTIFS(Pedidos!$B$2:$B$501,A152,Pedidos!$D$2:$D$501,"Canje llavero")&gt;0,"Sí","No"))</f>
        <v/>
      </c>
      <c r="G152" s="5">
        <f>IF(A152="","",IF(COUNTIFS(Pedidos!$B$2:$B$501,A152,Pedidos!$D$2:$D$501,"Canje cápsula")&gt;0,"Sí","No"))</f>
        <v/>
      </c>
      <c r="H152" s="5">
        <f>IF(A152="","",IF(AND(C152&gt;=Config!$B$3,G152="No"),"¡Le toca abrir la cápsula!",IF(AND(C152&gt;=Config!$B$2,F152="No"),"¡Le toca llavero con nombre!",IF(C152&lt;Config!$B$2,"Faltan "&amp;D152&amp;" para el llavero","Faltan "&amp;E152&amp;" para la cápsula"))))</f>
        <v/>
      </c>
    </row>
    <row r="153">
      <c r="A153" s="11" t="n"/>
      <c r="B153" s="5">
        <f>IF(A153="","",IFERROR(INDEX(Pedidos!$C$2:$C$501,MATCH(A153,Pedidos!$B$2:$B$501,0)),""))</f>
        <v/>
      </c>
      <c r="C153" s="5">
        <f>IF(A153="","",SUMIFS(Pedidos!$J$2:$J$501,Pedidos!$B$2:$B$501,A153))</f>
        <v/>
      </c>
      <c r="D153" s="5">
        <f>IF(A153="","",MAX(0,Config!$B$2-C153))</f>
        <v/>
      </c>
      <c r="E153" s="5">
        <f>IF(A153="","",MAX(0,Config!$B$3-C153))</f>
        <v/>
      </c>
      <c r="F153" s="5">
        <f>IF(A153="","",IF(COUNTIFS(Pedidos!$B$2:$B$501,A153,Pedidos!$D$2:$D$501,"Canje llavero")&gt;0,"Sí","No"))</f>
        <v/>
      </c>
      <c r="G153" s="5">
        <f>IF(A153="","",IF(COUNTIFS(Pedidos!$B$2:$B$501,A153,Pedidos!$D$2:$D$501,"Canje cápsula")&gt;0,"Sí","No"))</f>
        <v/>
      </c>
      <c r="H153" s="5">
        <f>IF(A153="","",IF(AND(C153&gt;=Config!$B$3,G153="No"),"¡Le toca abrir la cápsula!",IF(AND(C153&gt;=Config!$B$2,F153="No"),"¡Le toca llavero con nombre!",IF(C153&lt;Config!$B$2,"Faltan "&amp;D153&amp;" para el llavero","Faltan "&amp;E153&amp;" para la cápsula"))))</f>
        <v/>
      </c>
    </row>
    <row r="154">
      <c r="A154" s="11" t="n"/>
      <c r="B154" s="5">
        <f>IF(A154="","",IFERROR(INDEX(Pedidos!$C$2:$C$501,MATCH(A154,Pedidos!$B$2:$B$501,0)),""))</f>
        <v/>
      </c>
      <c r="C154" s="5">
        <f>IF(A154="","",SUMIFS(Pedidos!$J$2:$J$501,Pedidos!$B$2:$B$501,A154))</f>
        <v/>
      </c>
      <c r="D154" s="5">
        <f>IF(A154="","",MAX(0,Config!$B$2-C154))</f>
        <v/>
      </c>
      <c r="E154" s="5">
        <f>IF(A154="","",MAX(0,Config!$B$3-C154))</f>
        <v/>
      </c>
      <c r="F154" s="5">
        <f>IF(A154="","",IF(COUNTIFS(Pedidos!$B$2:$B$501,A154,Pedidos!$D$2:$D$501,"Canje llavero")&gt;0,"Sí","No"))</f>
        <v/>
      </c>
      <c r="G154" s="5">
        <f>IF(A154="","",IF(COUNTIFS(Pedidos!$B$2:$B$501,A154,Pedidos!$D$2:$D$501,"Canje cápsula")&gt;0,"Sí","No"))</f>
        <v/>
      </c>
      <c r="H154" s="5">
        <f>IF(A154="","",IF(AND(C154&gt;=Config!$B$3,G154="No"),"¡Le toca abrir la cápsula!",IF(AND(C154&gt;=Config!$B$2,F154="No"),"¡Le toca llavero con nombre!",IF(C154&lt;Config!$B$2,"Faltan "&amp;D154&amp;" para el llavero","Faltan "&amp;E154&amp;" para la cápsula"))))</f>
        <v/>
      </c>
    </row>
    <row r="155">
      <c r="A155" s="11" t="n"/>
      <c r="B155" s="5">
        <f>IF(A155="","",IFERROR(INDEX(Pedidos!$C$2:$C$501,MATCH(A155,Pedidos!$B$2:$B$501,0)),""))</f>
        <v/>
      </c>
      <c r="C155" s="5">
        <f>IF(A155="","",SUMIFS(Pedidos!$J$2:$J$501,Pedidos!$B$2:$B$501,A155))</f>
        <v/>
      </c>
      <c r="D155" s="5">
        <f>IF(A155="","",MAX(0,Config!$B$2-C155))</f>
        <v/>
      </c>
      <c r="E155" s="5">
        <f>IF(A155="","",MAX(0,Config!$B$3-C155))</f>
        <v/>
      </c>
      <c r="F155" s="5">
        <f>IF(A155="","",IF(COUNTIFS(Pedidos!$B$2:$B$501,A155,Pedidos!$D$2:$D$501,"Canje llavero")&gt;0,"Sí","No"))</f>
        <v/>
      </c>
      <c r="G155" s="5">
        <f>IF(A155="","",IF(COUNTIFS(Pedidos!$B$2:$B$501,A155,Pedidos!$D$2:$D$501,"Canje cápsula")&gt;0,"Sí","No"))</f>
        <v/>
      </c>
      <c r="H155" s="5">
        <f>IF(A155="","",IF(AND(C155&gt;=Config!$B$3,G155="No"),"¡Le toca abrir la cápsula!",IF(AND(C155&gt;=Config!$B$2,F155="No"),"¡Le toca llavero con nombre!",IF(C155&lt;Config!$B$2,"Faltan "&amp;D155&amp;" para el llavero","Faltan "&amp;E155&amp;" para la cápsula"))))</f>
        <v/>
      </c>
    </row>
    <row r="156">
      <c r="A156" s="11" t="n"/>
      <c r="B156" s="5">
        <f>IF(A156="","",IFERROR(INDEX(Pedidos!$C$2:$C$501,MATCH(A156,Pedidos!$B$2:$B$501,0)),""))</f>
        <v/>
      </c>
      <c r="C156" s="5">
        <f>IF(A156="","",SUMIFS(Pedidos!$J$2:$J$501,Pedidos!$B$2:$B$501,A156))</f>
        <v/>
      </c>
      <c r="D156" s="5">
        <f>IF(A156="","",MAX(0,Config!$B$2-C156))</f>
        <v/>
      </c>
      <c r="E156" s="5">
        <f>IF(A156="","",MAX(0,Config!$B$3-C156))</f>
        <v/>
      </c>
      <c r="F156" s="5">
        <f>IF(A156="","",IF(COUNTIFS(Pedidos!$B$2:$B$501,A156,Pedidos!$D$2:$D$501,"Canje llavero")&gt;0,"Sí","No"))</f>
        <v/>
      </c>
      <c r="G156" s="5">
        <f>IF(A156="","",IF(COUNTIFS(Pedidos!$B$2:$B$501,A156,Pedidos!$D$2:$D$501,"Canje cápsula")&gt;0,"Sí","No"))</f>
        <v/>
      </c>
      <c r="H156" s="5">
        <f>IF(A156="","",IF(AND(C156&gt;=Config!$B$3,G156="No"),"¡Le toca abrir la cápsula!",IF(AND(C156&gt;=Config!$B$2,F156="No"),"¡Le toca llavero con nombre!",IF(C156&lt;Config!$B$2,"Faltan "&amp;D156&amp;" para el llavero","Faltan "&amp;E156&amp;" para la cápsula"))))</f>
        <v/>
      </c>
    </row>
    <row r="157">
      <c r="A157" s="11" t="n"/>
      <c r="B157" s="5">
        <f>IF(A157="","",IFERROR(INDEX(Pedidos!$C$2:$C$501,MATCH(A157,Pedidos!$B$2:$B$501,0)),""))</f>
        <v/>
      </c>
      <c r="C157" s="5">
        <f>IF(A157="","",SUMIFS(Pedidos!$J$2:$J$501,Pedidos!$B$2:$B$501,A157))</f>
        <v/>
      </c>
      <c r="D157" s="5">
        <f>IF(A157="","",MAX(0,Config!$B$2-C157))</f>
        <v/>
      </c>
      <c r="E157" s="5">
        <f>IF(A157="","",MAX(0,Config!$B$3-C157))</f>
        <v/>
      </c>
      <c r="F157" s="5">
        <f>IF(A157="","",IF(COUNTIFS(Pedidos!$B$2:$B$501,A157,Pedidos!$D$2:$D$501,"Canje llavero")&gt;0,"Sí","No"))</f>
        <v/>
      </c>
      <c r="G157" s="5">
        <f>IF(A157="","",IF(COUNTIFS(Pedidos!$B$2:$B$501,A157,Pedidos!$D$2:$D$501,"Canje cápsula")&gt;0,"Sí","No"))</f>
        <v/>
      </c>
      <c r="H157" s="5">
        <f>IF(A157="","",IF(AND(C157&gt;=Config!$B$3,G157="No"),"¡Le toca abrir la cápsula!",IF(AND(C157&gt;=Config!$B$2,F157="No"),"¡Le toca llavero con nombre!",IF(C157&lt;Config!$B$2,"Faltan "&amp;D157&amp;" para el llavero","Faltan "&amp;E157&amp;" para la cápsula"))))</f>
        <v/>
      </c>
    </row>
    <row r="158">
      <c r="A158" s="11" t="n"/>
      <c r="B158" s="5">
        <f>IF(A158="","",IFERROR(INDEX(Pedidos!$C$2:$C$501,MATCH(A158,Pedidos!$B$2:$B$501,0)),""))</f>
        <v/>
      </c>
      <c r="C158" s="5">
        <f>IF(A158="","",SUMIFS(Pedidos!$J$2:$J$501,Pedidos!$B$2:$B$501,A158))</f>
        <v/>
      </c>
      <c r="D158" s="5">
        <f>IF(A158="","",MAX(0,Config!$B$2-C158))</f>
        <v/>
      </c>
      <c r="E158" s="5">
        <f>IF(A158="","",MAX(0,Config!$B$3-C158))</f>
        <v/>
      </c>
      <c r="F158" s="5">
        <f>IF(A158="","",IF(COUNTIFS(Pedidos!$B$2:$B$501,A158,Pedidos!$D$2:$D$501,"Canje llavero")&gt;0,"Sí","No"))</f>
        <v/>
      </c>
      <c r="G158" s="5">
        <f>IF(A158="","",IF(COUNTIFS(Pedidos!$B$2:$B$501,A158,Pedidos!$D$2:$D$501,"Canje cápsula")&gt;0,"Sí","No"))</f>
        <v/>
      </c>
      <c r="H158" s="5">
        <f>IF(A158="","",IF(AND(C158&gt;=Config!$B$3,G158="No"),"¡Le toca abrir la cápsula!",IF(AND(C158&gt;=Config!$B$2,F158="No"),"¡Le toca llavero con nombre!",IF(C158&lt;Config!$B$2,"Faltan "&amp;D158&amp;" para el llavero","Faltan "&amp;E158&amp;" para la cápsula"))))</f>
        <v/>
      </c>
    </row>
    <row r="159">
      <c r="A159" s="11" t="n"/>
      <c r="B159" s="5">
        <f>IF(A159="","",IFERROR(INDEX(Pedidos!$C$2:$C$501,MATCH(A159,Pedidos!$B$2:$B$501,0)),""))</f>
        <v/>
      </c>
      <c r="C159" s="5">
        <f>IF(A159="","",SUMIFS(Pedidos!$J$2:$J$501,Pedidos!$B$2:$B$501,A159))</f>
        <v/>
      </c>
      <c r="D159" s="5">
        <f>IF(A159="","",MAX(0,Config!$B$2-C159))</f>
        <v/>
      </c>
      <c r="E159" s="5">
        <f>IF(A159="","",MAX(0,Config!$B$3-C159))</f>
        <v/>
      </c>
      <c r="F159" s="5">
        <f>IF(A159="","",IF(COUNTIFS(Pedidos!$B$2:$B$501,A159,Pedidos!$D$2:$D$501,"Canje llavero")&gt;0,"Sí","No"))</f>
        <v/>
      </c>
      <c r="G159" s="5">
        <f>IF(A159="","",IF(COUNTIFS(Pedidos!$B$2:$B$501,A159,Pedidos!$D$2:$D$501,"Canje cápsula")&gt;0,"Sí","No"))</f>
        <v/>
      </c>
      <c r="H159" s="5">
        <f>IF(A159="","",IF(AND(C159&gt;=Config!$B$3,G159="No"),"¡Le toca abrir la cápsula!",IF(AND(C159&gt;=Config!$B$2,F159="No"),"¡Le toca llavero con nombre!",IF(C159&lt;Config!$B$2,"Faltan "&amp;D159&amp;" para el llavero","Faltan "&amp;E159&amp;" para la cápsula"))))</f>
        <v/>
      </c>
    </row>
    <row r="160">
      <c r="A160" s="11" t="n"/>
      <c r="B160" s="5">
        <f>IF(A160="","",IFERROR(INDEX(Pedidos!$C$2:$C$501,MATCH(A160,Pedidos!$B$2:$B$501,0)),""))</f>
        <v/>
      </c>
      <c r="C160" s="5">
        <f>IF(A160="","",SUMIFS(Pedidos!$J$2:$J$501,Pedidos!$B$2:$B$501,A160))</f>
        <v/>
      </c>
      <c r="D160" s="5">
        <f>IF(A160="","",MAX(0,Config!$B$2-C160))</f>
        <v/>
      </c>
      <c r="E160" s="5">
        <f>IF(A160="","",MAX(0,Config!$B$3-C160))</f>
        <v/>
      </c>
      <c r="F160" s="5">
        <f>IF(A160="","",IF(COUNTIFS(Pedidos!$B$2:$B$501,A160,Pedidos!$D$2:$D$501,"Canje llavero")&gt;0,"Sí","No"))</f>
        <v/>
      </c>
      <c r="G160" s="5">
        <f>IF(A160="","",IF(COUNTIFS(Pedidos!$B$2:$B$501,A160,Pedidos!$D$2:$D$501,"Canje cápsula")&gt;0,"Sí","No"))</f>
        <v/>
      </c>
      <c r="H160" s="5">
        <f>IF(A160="","",IF(AND(C160&gt;=Config!$B$3,G160="No"),"¡Le toca abrir la cápsula!",IF(AND(C160&gt;=Config!$B$2,F160="No"),"¡Le toca llavero con nombre!",IF(C160&lt;Config!$B$2,"Faltan "&amp;D160&amp;" para el llavero","Faltan "&amp;E160&amp;" para la cápsula"))))</f>
        <v/>
      </c>
    </row>
    <row r="161">
      <c r="A161" s="11" t="n"/>
      <c r="B161" s="5">
        <f>IF(A161="","",IFERROR(INDEX(Pedidos!$C$2:$C$501,MATCH(A161,Pedidos!$B$2:$B$501,0)),""))</f>
        <v/>
      </c>
      <c r="C161" s="5">
        <f>IF(A161="","",SUMIFS(Pedidos!$J$2:$J$501,Pedidos!$B$2:$B$501,A161))</f>
        <v/>
      </c>
      <c r="D161" s="5">
        <f>IF(A161="","",MAX(0,Config!$B$2-C161))</f>
        <v/>
      </c>
      <c r="E161" s="5">
        <f>IF(A161="","",MAX(0,Config!$B$3-C161))</f>
        <v/>
      </c>
      <c r="F161" s="5">
        <f>IF(A161="","",IF(COUNTIFS(Pedidos!$B$2:$B$501,A161,Pedidos!$D$2:$D$501,"Canje llavero")&gt;0,"Sí","No"))</f>
        <v/>
      </c>
      <c r="G161" s="5">
        <f>IF(A161="","",IF(COUNTIFS(Pedidos!$B$2:$B$501,A161,Pedidos!$D$2:$D$501,"Canje cápsula")&gt;0,"Sí","No"))</f>
        <v/>
      </c>
      <c r="H161" s="5">
        <f>IF(A161="","",IF(AND(C161&gt;=Config!$B$3,G161="No"),"¡Le toca abrir la cápsula!",IF(AND(C161&gt;=Config!$B$2,F161="No"),"¡Le toca llavero con nombre!",IF(C161&lt;Config!$B$2,"Faltan "&amp;D161&amp;" para el llavero","Faltan "&amp;E161&amp;" para la cápsula"))))</f>
        <v/>
      </c>
    </row>
    <row r="162">
      <c r="A162" s="11" t="n"/>
      <c r="B162" s="5">
        <f>IF(A162="","",IFERROR(INDEX(Pedidos!$C$2:$C$501,MATCH(A162,Pedidos!$B$2:$B$501,0)),""))</f>
        <v/>
      </c>
      <c r="C162" s="5">
        <f>IF(A162="","",SUMIFS(Pedidos!$J$2:$J$501,Pedidos!$B$2:$B$501,A162))</f>
        <v/>
      </c>
      <c r="D162" s="5">
        <f>IF(A162="","",MAX(0,Config!$B$2-C162))</f>
        <v/>
      </c>
      <c r="E162" s="5">
        <f>IF(A162="","",MAX(0,Config!$B$3-C162))</f>
        <v/>
      </c>
      <c r="F162" s="5">
        <f>IF(A162="","",IF(COUNTIFS(Pedidos!$B$2:$B$501,A162,Pedidos!$D$2:$D$501,"Canje llavero")&gt;0,"Sí","No"))</f>
        <v/>
      </c>
      <c r="G162" s="5">
        <f>IF(A162="","",IF(COUNTIFS(Pedidos!$B$2:$B$501,A162,Pedidos!$D$2:$D$501,"Canje cápsula")&gt;0,"Sí","No"))</f>
        <v/>
      </c>
      <c r="H162" s="5">
        <f>IF(A162="","",IF(AND(C162&gt;=Config!$B$3,G162="No"),"¡Le toca abrir la cápsula!",IF(AND(C162&gt;=Config!$B$2,F162="No"),"¡Le toca llavero con nombre!",IF(C162&lt;Config!$B$2,"Faltan "&amp;D162&amp;" para el llavero","Faltan "&amp;E162&amp;" para la cápsula"))))</f>
        <v/>
      </c>
    </row>
    <row r="163">
      <c r="A163" s="11" t="n"/>
      <c r="B163" s="5">
        <f>IF(A163="","",IFERROR(INDEX(Pedidos!$C$2:$C$501,MATCH(A163,Pedidos!$B$2:$B$501,0)),""))</f>
        <v/>
      </c>
      <c r="C163" s="5">
        <f>IF(A163="","",SUMIFS(Pedidos!$J$2:$J$501,Pedidos!$B$2:$B$501,A163))</f>
        <v/>
      </c>
      <c r="D163" s="5">
        <f>IF(A163="","",MAX(0,Config!$B$2-C163))</f>
        <v/>
      </c>
      <c r="E163" s="5">
        <f>IF(A163="","",MAX(0,Config!$B$3-C163))</f>
        <v/>
      </c>
      <c r="F163" s="5">
        <f>IF(A163="","",IF(COUNTIFS(Pedidos!$B$2:$B$501,A163,Pedidos!$D$2:$D$501,"Canje llavero")&gt;0,"Sí","No"))</f>
        <v/>
      </c>
      <c r="G163" s="5">
        <f>IF(A163="","",IF(COUNTIFS(Pedidos!$B$2:$B$501,A163,Pedidos!$D$2:$D$501,"Canje cápsula")&gt;0,"Sí","No"))</f>
        <v/>
      </c>
      <c r="H163" s="5">
        <f>IF(A163="","",IF(AND(C163&gt;=Config!$B$3,G163="No"),"¡Le toca abrir la cápsula!",IF(AND(C163&gt;=Config!$B$2,F163="No"),"¡Le toca llavero con nombre!",IF(C163&lt;Config!$B$2,"Faltan "&amp;D163&amp;" para el llavero","Faltan "&amp;E163&amp;" para la cápsula"))))</f>
        <v/>
      </c>
    </row>
    <row r="164">
      <c r="A164" s="11" t="n"/>
      <c r="B164" s="5">
        <f>IF(A164="","",IFERROR(INDEX(Pedidos!$C$2:$C$501,MATCH(A164,Pedidos!$B$2:$B$501,0)),""))</f>
        <v/>
      </c>
      <c r="C164" s="5">
        <f>IF(A164="","",SUMIFS(Pedidos!$J$2:$J$501,Pedidos!$B$2:$B$501,A164))</f>
        <v/>
      </c>
      <c r="D164" s="5">
        <f>IF(A164="","",MAX(0,Config!$B$2-C164))</f>
        <v/>
      </c>
      <c r="E164" s="5">
        <f>IF(A164="","",MAX(0,Config!$B$3-C164))</f>
        <v/>
      </c>
      <c r="F164" s="5">
        <f>IF(A164="","",IF(COUNTIFS(Pedidos!$B$2:$B$501,A164,Pedidos!$D$2:$D$501,"Canje llavero")&gt;0,"Sí","No"))</f>
        <v/>
      </c>
      <c r="G164" s="5">
        <f>IF(A164="","",IF(COUNTIFS(Pedidos!$B$2:$B$501,A164,Pedidos!$D$2:$D$501,"Canje cápsula")&gt;0,"Sí","No"))</f>
        <v/>
      </c>
      <c r="H164" s="5">
        <f>IF(A164="","",IF(AND(C164&gt;=Config!$B$3,G164="No"),"¡Le toca abrir la cápsula!",IF(AND(C164&gt;=Config!$B$2,F164="No"),"¡Le toca llavero con nombre!",IF(C164&lt;Config!$B$2,"Faltan "&amp;D164&amp;" para el llavero","Faltan "&amp;E164&amp;" para la cápsula"))))</f>
        <v/>
      </c>
    </row>
    <row r="165">
      <c r="A165" s="11" t="n"/>
      <c r="B165" s="5">
        <f>IF(A165="","",IFERROR(INDEX(Pedidos!$C$2:$C$501,MATCH(A165,Pedidos!$B$2:$B$501,0)),""))</f>
        <v/>
      </c>
      <c r="C165" s="5">
        <f>IF(A165="","",SUMIFS(Pedidos!$J$2:$J$501,Pedidos!$B$2:$B$501,A165))</f>
        <v/>
      </c>
      <c r="D165" s="5">
        <f>IF(A165="","",MAX(0,Config!$B$2-C165))</f>
        <v/>
      </c>
      <c r="E165" s="5">
        <f>IF(A165="","",MAX(0,Config!$B$3-C165))</f>
        <v/>
      </c>
      <c r="F165" s="5">
        <f>IF(A165="","",IF(COUNTIFS(Pedidos!$B$2:$B$501,A165,Pedidos!$D$2:$D$501,"Canje llavero")&gt;0,"Sí","No"))</f>
        <v/>
      </c>
      <c r="G165" s="5">
        <f>IF(A165="","",IF(COUNTIFS(Pedidos!$B$2:$B$501,A165,Pedidos!$D$2:$D$501,"Canje cápsula")&gt;0,"Sí","No"))</f>
        <v/>
      </c>
      <c r="H165" s="5">
        <f>IF(A165="","",IF(AND(C165&gt;=Config!$B$3,G165="No"),"¡Le toca abrir la cápsula!",IF(AND(C165&gt;=Config!$B$2,F165="No"),"¡Le toca llavero con nombre!",IF(C165&lt;Config!$B$2,"Faltan "&amp;D165&amp;" para el llavero","Faltan "&amp;E165&amp;" para la cápsula"))))</f>
        <v/>
      </c>
    </row>
    <row r="166">
      <c r="A166" s="11" t="n"/>
      <c r="B166" s="5">
        <f>IF(A166="","",IFERROR(INDEX(Pedidos!$C$2:$C$501,MATCH(A166,Pedidos!$B$2:$B$501,0)),""))</f>
        <v/>
      </c>
      <c r="C166" s="5">
        <f>IF(A166="","",SUMIFS(Pedidos!$J$2:$J$501,Pedidos!$B$2:$B$501,A166))</f>
        <v/>
      </c>
      <c r="D166" s="5">
        <f>IF(A166="","",MAX(0,Config!$B$2-C166))</f>
        <v/>
      </c>
      <c r="E166" s="5">
        <f>IF(A166="","",MAX(0,Config!$B$3-C166))</f>
        <v/>
      </c>
      <c r="F166" s="5">
        <f>IF(A166="","",IF(COUNTIFS(Pedidos!$B$2:$B$501,A166,Pedidos!$D$2:$D$501,"Canje llavero")&gt;0,"Sí","No"))</f>
        <v/>
      </c>
      <c r="G166" s="5">
        <f>IF(A166="","",IF(COUNTIFS(Pedidos!$B$2:$B$501,A166,Pedidos!$D$2:$D$501,"Canje cápsula")&gt;0,"Sí","No"))</f>
        <v/>
      </c>
      <c r="H166" s="5">
        <f>IF(A166="","",IF(AND(C166&gt;=Config!$B$3,G166="No"),"¡Le toca abrir la cápsula!",IF(AND(C166&gt;=Config!$B$2,F166="No"),"¡Le toca llavero con nombre!",IF(C166&lt;Config!$B$2,"Faltan "&amp;D166&amp;" para el llavero","Faltan "&amp;E166&amp;" para la cápsula"))))</f>
        <v/>
      </c>
    </row>
    <row r="167">
      <c r="A167" s="11" t="n"/>
      <c r="B167" s="5">
        <f>IF(A167="","",IFERROR(INDEX(Pedidos!$C$2:$C$501,MATCH(A167,Pedidos!$B$2:$B$501,0)),""))</f>
        <v/>
      </c>
      <c r="C167" s="5">
        <f>IF(A167="","",SUMIFS(Pedidos!$J$2:$J$501,Pedidos!$B$2:$B$501,A167))</f>
        <v/>
      </c>
      <c r="D167" s="5">
        <f>IF(A167="","",MAX(0,Config!$B$2-C167))</f>
        <v/>
      </c>
      <c r="E167" s="5">
        <f>IF(A167="","",MAX(0,Config!$B$3-C167))</f>
        <v/>
      </c>
      <c r="F167" s="5">
        <f>IF(A167="","",IF(COUNTIFS(Pedidos!$B$2:$B$501,A167,Pedidos!$D$2:$D$501,"Canje llavero")&gt;0,"Sí","No"))</f>
        <v/>
      </c>
      <c r="G167" s="5">
        <f>IF(A167="","",IF(COUNTIFS(Pedidos!$B$2:$B$501,A167,Pedidos!$D$2:$D$501,"Canje cápsula")&gt;0,"Sí","No"))</f>
        <v/>
      </c>
      <c r="H167" s="5">
        <f>IF(A167="","",IF(AND(C167&gt;=Config!$B$3,G167="No"),"¡Le toca abrir la cápsula!",IF(AND(C167&gt;=Config!$B$2,F167="No"),"¡Le toca llavero con nombre!",IF(C167&lt;Config!$B$2,"Faltan "&amp;D167&amp;" para el llavero","Faltan "&amp;E167&amp;" para la cápsula"))))</f>
        <v/>
      </c>
    </row>
    <row r="168">
      <c r="A168" s="11" t="n"/>
      <c r="B168" s="5">
        <f>IF(A168="","",IFERROR(INDEX(Pedidos!$C$2:$C$501,MATCH(A168,Pedidos!$B$2:$B$501,0)),""))</f>
        <v/>
      </c>
      <c r="C168" s="5">
        <f>IF(A168="","",SUMIFS(Pedidos!$J$2:$J$501,Pedidos!$B$2:$B$501,A168))</f>
        <v/>
      </c>
      <c r="D168" s="5">
        <f>IF(A168="","",MAX(0,Config!$B$2-C168))</f>
        <v/>
      </c>
      <c r="E168" s="5">
        <f>IF(A168="","",MAX(0,Config!$B$3-C168))</f>
        <v/>
      </c>
      <c r="F168" s="5">
        <f>IF(A168="","",IF(COUNTIFS(Pedidos!$B$2:$B$501,A168,Pedidos!$D$2:$D$501,"Canje llavero")&gt;0,"Sí","No"))</f>
        <v/>
      </c>
      <c r="G168" s="5">
        <f>IF(A168="","",IF(COUNTIFS(Pedidos!$B$2:$B$501,A168,Pedidos!$D$2:$D$501,"Canje cápsula")&gt;0,"Sí","No"))</f>
        <v/>
      </c>
      <c r="H168" s="5">
        <f>IF(A168="","",IF(AND(C168&gt;=Config!$B$3,G168="No"),"¡Le toca abrir la cápsula!",IF(AND(C168&gt;=Config!$B$2,F168="No"),"¡Le toca llavero con nombre!",IF(C168&lt;Config!$B$2,"Faltan "&amp;D168&amp;" para el llavero","Faltan "&amp;E168&amp;" para la cápsula"))))</f>
        <v/>
      </c>
    </row>
    <row r="169">
      <c r="A169" s="11" t="n"/>
      <c r="B169" s="5">
        <f>IF(A169="","",IFERROR(INDEX(Pedidos!$C$2:$C$501,MATCH(A169,Pedidos!$B$2:$B$501,0)),""))</f>
        <v/>
      </c>
      <c r="C169" s="5">
        <f>IF(A169="","",SUMIFS(Pedidos!$J$2:$J$501,Pedidos!$B$2:$B$501,A169))</f>
        <v/>
      </c>
      <c r="D169" s="5">
        <f>IF(A169="","",MAX(0,Config!$B$2-C169))</f>
        <v/>
      </c>
      <c r="E169" s="5">
        <f>IF(A169="","",MAX(0,Config!$B$3-C169))</f>
        <v/>
      </c>
      <c r="F169" s="5">
        <f>IF(A169="","",IF(COUNTIFS(Pedidos!$B$2:$B$501,A169,Pedidos!$D$2:$D$501,"Canje llavero")&gt;0,"Sí","No"))</f>
        <v/>
      </c>
      <c r="G169" s="5">
        <f>IF(A169="","",IF(COUNTIFS(Pedidos!$B$2:$B$501,A169,Pedidos!$D$2:$D$501,"Canje cápsula")&gt;0,"Sí","No"))</f>
        <v/>
      </c>
      <c r="H169" s="5">
        <f>IF(A169="","",IF(AND(C169&gt;=Config!$B$3,G169="No"),"¡Le toca abrir la cápsula!",IF(AND(C169&gt;=Config!$B$2,F169="No"),"¡Le toca llavero con nombre!",IF(C169&lt;Config!$B$2,"Faltan "&amp;D169&amp;" para el llavero","Faltan "&amp;E169&amp;" para la cápsula"))))</f>
        <v/>
      </c>
    </row>
    <row r="170">
      <c r="A170" s="11" t="n"/>
      <c r="B170" s="5">
        <f>IF(A170="","",IFERROR(INDEX(Pedidos!$C$2:$C$501,MATCH(A170,Pedidos!$B$2:$B$501,0)),""))</f>
        <v/>
      </c>
      <c r="C170" s="5">
        <f>IF(A170="","",SUMIFS(Pedidos!$J$2:$J$501,Pedidos!$B$2:$B$501,A170))</f>
        <v/>
      </c>
      <c r="D170" s="5">
        <f>IF(A170="","",MAX(0,Config!$B$2-C170))</f>
        <v/>
      </c>
      <c r="E170" s="5">
        <f>IF(A170="","",MAX(0,Config!$B$3-C170))</f>
        <v/>
      </c>
      <c r="F170" s="5">
        <f>IF(A170="","",IF(COUNTIFS(Pedidos!$B$2:$B$501,A170,Pedidos!$D$2:$D$501,"Canje llavero")&gt;0,"Sí","No"))</f>
        <v/>
      </c>
      <c r="G170" s="5">
        <f>IF(A170="","",IF(COUNTIFS(Pedidos!$B$2:$B$501,A170,Pedidos!$D$2:$D$501,"Canje cápsula")&gt;0,"Sí","No"))</f>
        <v/>
      </c>
      <c r="H170" s="5">
        <f>IF(A170="","",IF(AND(C170&gt;=Config!$B$3,G170="No"),"¡Le toca abrir la cápsula!",IF(AND(C170&gt;=Config!$B$2,F170="No"),"¡Le toca llavero con nombre!",IF(C170&lt;Config!$B$2,"Faltan "&amp;D170&amp;" para el llavero","Faltan "&amp;E170&amp;" para la cápsula"))))</f>
        <v/>
      </c>
    </row>
    <row r="171">
      <c r="A171" s="11" t="n"/>
      <c r="B171" s="5">
        <f>IF(A171="","",IFERROR(INDEX(Pedidos!$C$2:$C$501,MATCH(A171,Pedidos!$B$2:$B$501,0)),""))</f>
        <v/>
      </c>
      <c r="C171" s="5">
        <f>IF(A171="","",SUMIFS(Pedidos!$J$2:$J$501,Pedidos!$B$2:$B$501,A171))</f>
        <v/>
      </c>
      <c r="D171" s="5">
        <f>IF(A171="","",MAX(0,Config!$B$2-C171))</f>
        <v/>
      </c>
      <c r="E171" s="5">
        <f>IF(A171="","",MAX(0,Config!$B$3-C171))</f>
        <v/>
      </c>
      <c r="F171" s="5">
        <f>IF(A171="","",IF(COUNTIFS(Pedidos!$B$2:$B$501,A171,Pedidos!$D$2:$D$501,"Canje llavero")&gt;0,"Sí","No"))</f>
        <v/>
      </c>
      <c r="G171" s="5">
        <f>IF(A171="","",IF(COUNTIFS(Pedidos!$B$2:$B$501,A171,Pedidos!$D$2:$D$501,"Canje cápsula")&gt;0,"Sí","No"))</f>
        <v/>
      </c>
      <c r="H171" s="5">
        <f>IF(A171="","",IF(AND(C171&gt;=Config!$B$3,G171="No"),"¡Le toca abrir la cápsula!",IF(AND(C171&gt;=Config!$B$2,F171="No"),"¡Le toca llavero con nombre!",IF(C171&lt;Config!$B$2,"Faltan "&amp;D171&amp;" para el llavero","Faltan "&amp;E171&amp;" para la cápsula"))))</f>
        <v/>
      </c>
    </row>
    <row r="172">
      <c r="A172" s="11" t="n"/>
      <c r="B172" s="5">
        <f>IF(A172="","",IFERROR(INDEX(Pedidos!$C$2:$C$501,MATCH(A172,Pedidos!$B$2:$B$501,0)),""))</f>
        <v/>
      </c>
      <c r="C172" s="5">
        <f>IF(A172="","",SUMIFS(Pedidos!$J$2:$J$501,Pedidos!$B$2:$B$501,A172))</f>
        <v/>
      </c>
      <c r="D172" s="5">
        <f>IF(A172="","",MAX(0,Config!$B$2-C172))</f>
        <v/>
      </c>
      <c r="E172" s="5">
        <f>IF(A172="","",MAX(0,Config!$B$3-C172))</f>
        <v/>
      </c>
      <c r="F172" s="5">
        <f>IF(A172="","",IF(COUNTIFS(Pedidos!$B$2:$B$501,A172,Pedidos!$D$2:$D$501,"Canje llavero")&gt;0,"Sí","No"))</f>
        <v/>
      </c>
      <c r="G172" s="5">
        <f>IF(A172="","",IF(COUNTIFS(Pedidos!$B$2:$B$501,A172,Pedidos!$D$2:$D$501,"Canje cápsula")&gt;0,"Sí","No"))</f>
        <v/>
      </c>
      <c r="H172" s="5">
        <f>IF(A172="","",IF(AND(C172&gt;=Config!$B$3,G172="No"),"¡Le toca abrir la cápsula!",IF(AND(C172&gt;=Config!$B$2,F172="No"),"¡Le toca llavero con nombre!",IF(C172&lt;Config!$B$2,"Faltan "&amp;D172&amp;" para el llavero","Faltan "&amp;E172&amp;" para la cápsula"))))</f>
        <v/>
      </c>
    </row>
    <row r="173">
      <c r="A173" s="11" t="n"/>
      <c r="B173" s="5">
        <f>IF(A173="","",IFERROR(INDEX(Pedidos!$C$2:$C$501,MATCH(A173,Pedidos!$B$2:$B$501,0)),""))</f>
        <v/>
      </c>
      <c r="C173" s="5">
        <f>IF(A173="","",SUMIFS(Pedidos!$J$2:$J$501,Pedidos!$B$2:$B$501,A173))</f>
        <v/>
      </c>
      <c r="D173" s="5">
        <f>IF(A173="","",MAX(0,Config!$B$2-C173))</f>
        <v/>
      </c>
      <c r="E173" s="5">
        <f>IF(A173="","",MAX(0,Config!$B$3-C173))</f>
        <v/>
      </c>
      <c r="F173" s="5">
        <f>IF(A173="","",IF(COUNTIFS(Pedidos!$B$2:$B$501,A173,Pedidos!$D$2:$D$501,"Canje llavero")&gt;0,"Sí","No"))</f>
        <v/>
      </c>
      <c r="G173" s="5">
        <f>IF(A173="","",IF(COUNTIFS(Pedidos!$B$2:$B$501,A173,Pedidos!$D$2:$D$501,"Canje cápsula")&gt;0,"Sí","No"))</f>
        <v/>
      </c>
      <c r="H173" s="5">
        <f>IF(A173="","",IF(AND(C173&gt;=Config!$B$3,G173="No"),"¡Le toca abrir la cápsula!",IF(AND(C173&gt;=Config!$B$2,F173="No"),"¡Le toca llavero con nombre!",IF(C173&lt;Config!$B$2,"Faltan "&amp;D173&amp;" para el llavero","Faltan "&amp;E173&amp;" para la cápsula"))))</f>
        <v/>
      </c>
    </row>
    <row r="174">
      <c r="A174" s="11" t="n"/>
      <c r="B174" s="5">
        <f>IF(A174="","",IFERROR(INDEX(Pedidos!$C$2:$C$501,MATCH(A174,Pedidos!$B$2:$B$501,0)),""))</f>
        <v/>
      </c>
      <c r="C174" s="5">
        <f>IF(A174="","",SUMIFS(Pedidos!$J$2:$J$501,Pedidos!$B$2:$B$501,A174))</f>
        <v/>
      </c>
      <c r="D174" s="5">
        <f>IF(A174="","",MAX(0,Config!$B$2-C174))</f>
        <v/>
      </c>
      <c r="E174" s="5">
        <f>IF(A174="","",MAX(0,Config!$B$3-C174))</f>
        <v/>
      </c>
      <c r="F174" s="5">
        <f>IF(A174="","",IF(COUNTIFS(Pedidos!$B$2:$B$501,A174,Pedidos!$D$2:$D$501,"Canje llavero")&gt;0,"Sí","No"))</f>
        <v/>
      </c>
      <c r="G174" s="5">
        <f>IF(A174="","",IF(COUNTIFS(Pedidos!$B$2:$B$501,A174,Pedidos!$D$2:$D$501,"Canje cápsula")&gt;0,"Sí","No"))</f>
        <v/>
      </c>
      <c r="H174" s="5">
        <f>IF(A174="","",IF(AND(C174&gt;=Config!$B$3,G174="No"),"¡Le toca abrir la cápsula!",IF(AND(C174&gt;=Config!$B$2,F174="No"),"¡Le toca llavero con nombre!",IF(C174&lt;Config!$B$2,"Faltan "&amp;D174&amp;" para el llavero","Faltan "&amp;E174&amp;" para la cápsula"))))</f>
        <v/>
      </c>
    </row>
    <row r="175">
      <c r="A175" s="11" t="n"/>
      <c r="B175" s="5">
        <f>IF(A175="","",IFERROR(INDEX(Pedidos!$C$2:$C$501,MATCH(A175,Pedidos!$B$2:$B$501,0)),""))</f>
        <v/>
      </c>
      <c r="C175" s="5">
        <f>IF(A175="","",SUMIFS(Pedidos!$J$2:$J$501,Pedidos!$B$2:$B$501,A175))</f>
        <v/>
      </c>
      <c r="D175" s="5">
        <f>IF(A175="","",MAX(0,Config!$B$2-C175))</f>
        <v/>
      </c>
      <c r="E175" s="5">
        <f>IF(A175="","",MAX(0,Config!$B$3-C175))</f>
        <v/>
      </c>
      <c r="F175" s="5">
        <f>IF(A175="","",IF(COUNTIFS(Pedidos!$B$2:$B$501,A175,Pedidos!$D$2:$D$501,"Canje llavero")&gt;0,"Sí","No"))</f>
        <v/>
      </c>
      <c r="G175" s="5">
        <f>IF(A175="","",IF(COUNTIFS(Pedidos!$B$2:$B$501,A175,Pedidos!$D$2:$D$501,"Canje cápsula")&gt;0,"Sí","No"))</f>
        <v/>
      </c>
      <c r="H175" s="5">
        <f>IF(A175="","",IF(AND(C175&gt;=Config!$B$3,G175="No"),"¡Le toca abrir la cápsula!",IF(AND(C175&gt;=Config!$B$2,F175="No"),"¡Le toca llavero con nombre!",IF(C175&lt;Config!$B$2,"Faltan "&amp;D175&amp;" para el llavero","Faltan "&amp;E175&amp;" para la cápsula"))))</f>
        <v/>
      </c>
    </row>
    <row r="176">
      <c r="A176" s="11" t="n"/>
      <c r="B176" s="5">
        <f>IF(A176="","",IFERROR(INDEX(Pedidos!$C$2:$C$501,MATCH(A176,Pedidos!$B$2:$B$501,0)),""))</f>
        <v/>
      </c>
      <c r="C176" s="5">
        <f>IF(A176="","",SUMIFS(Pedidos!$J$2:$J$501,Pedidos!$B$2:$B$501,A176))</f>
        <v/>
      </c>
      <c r="D176" s="5">
        <f>IF(A176="","",MAX(0,Config!$B$2-C176))</f>
        <v/>
      </c>
      <c r="E176" s="5">
        <f>IF(A176="","",MAX(0,Config!$B$3-C176))</f>
        <v/>
      </c>
      <c r="F176" s="5">
        <f>IF(A176="","",IF(COUNTIFS(Pedidos!$B$2:$B$501,A176,Pedidos!$D$2:$D$501,"Canje llavero")&gt;0,"Sí","No"))</f>
        <v/>
      </c>
      <c r="G176" s="5">
        <f>IF(A176="","",IF(COUNTIFS(Pedidos!$B$2:$B$501,A176,Pedidos!$D$2:$D$501,"Canje cápsula")&gt;0,"Sí","No"))</f>
        <v/>
      </c>
      <c r="H176" s="5">
        <f>IF(A176="","",IF(AND(C176&gt;=Config!$B$3,G176="No"),"¡Le toca abrir la cápsula!",IF(AND(C176&gt;=Config!$B$2,F176="No"),"¡Le toca llavero con nombre!",IF(C176&lt;Config!$B$2,"Faltan "&amp;D176&amp;" para el llavero","Faltan "&amp;E176&amp;" para la cápsula"))))</f>
        <v/>
      </c>
    </row>
    <row r="177">
      <c r="A177" s="11" t="n"/>
      <c r="B177" s="5">
        <f>IF(A177="","",IFERROR(INDEX(Pedidos!$C$2:$C$501,MATCH(A177,Pedidos!$B$2:$B$501,0)),""))</f>
        <v/>
      </c>
      <c r="C177" s="5">
        <f>IF(A177="","",SUMIFS(Pedidos!$J$2:$J$501,Pedidos!$B$2:$B$501,A177))</f>
        <v/>
      </c>
      <c r="D177" s="5">
        <f>IF(A177="","",MAX(0,Config!$B$2-C177))</f>
        <v/>
      </c>
      <c r="E177" s="5">
        <f>IF(A177="","",MAX(0,Config!$B$3-C177))</f>
        <v/>
      </c>
      <c r="F177" s="5">
        <f>IF(A177="","",IF(COUNTIFS(Pedidos!$B$2:$B$501,A177,Pedidos!$D$2:$D$501,"Canje llavero")&gt;0,"Sí","No"))</f>
        <v/>
      </c>
      <c r="G177" s="5">
        <f>IF(A177="","",IF(COUNTIFS(Pedidos!$B$2:$B$501,A177,Pedidos!$D$2:$D$501,"Canje cápsula")&gt;0,"Sí","No"))</f>
        <v/>
      </c>
      <c r="H177" s="5">
        <f>IF(A177="","",IF(AND(C177&gt;=Config!$B$3,G177="No"),"¡Le toca abrir la cápsula!",IF(AND(C177&gt;=Config!$B$2,F177="No"),"¡Le toca llavero con nombre!",IF(C177&lt;Config!$B$2,"Faltan "&amp;D177&amp;" para el llavero","Faltan "&amp;E177&amp;" para la cápsula"))))</f>
        <v/>
      </c>
    </row>
    <row r="178">
      <c r="A178" s="11" t="n"/>
      <c r="B178" s="5">
        <f>IF(A178="","",IFERROR(INDEX(Pedidos!$C$2:$C$501,MATCH(A178,Pedidos!$B$2:$B$501,0)),""))</f>
        <v/>
      </c>
      <c r="C178" s="5">
        <f>IF(A178="","",SUMIFS(Pedidos!$J$2:$J$501,Pedidos!$B$2:$B$501,A178))</f>
        <v/>
      </c>
      <c r="D178" s="5">
        <f>IF(A178="","",MAX(0,Config!$B$2-C178))</f>
        <v/>
      </c>
      <c r="E178" s="5">
        <f>IF(A178="","",MAX(0,Config!$B$3-C178))</f>
        <v/>
      </c>
      <c r="F178" s="5">
        <f>IF(A178="","",IF(COUNTIFS(Pedidos!$B$2:$B$501,A178,Pedidos!$D$2:$D$501,"Canje llavero")&gt;0,"Sí","No"))</f>
        <v/>
      </c>
      <c r="G178" s="5">
        <f>IF(A178="","",IF(COUNTIFS(Pedidos!$B$2:$B$501,A178,Pedidos!$D$2:$D$501,"Canje cápsula")&gt;0,"Sí","No"))</f>
        <v/>
      </c>
      <c r="H178" s="5">
        <f>IF(A178="","",IF(AND(C178&gt;=Config!$B$3,G178="No"),"¡Le toca abrir la cápsula!",IF(AND(C178&gt;=Config!$B$2,F178="No"),"¡Le toca llavero con nombre!",IF(C178&lt;Config!$B$2,"Faltan "&amp;D178&amp;" para el llavero","Faltan "&amp;E178&amp;" para la cápsula"))))</f>
        <v/>
      </c>
    </row>
    <row r="179">
      <c r="A179" s="11" t="n"/>
      <c r="B179" s="5">
        <f>IF(A179="","",IFERROR(INDEX(Pedidos!$C$2:$C$501,MATCH(A179,Pedidos!$B$2:$B$501,0)),""))</f>
        <v/>
      </c>
      <c r="C179" s="5">
        <f>IF(A179="","",SUMIFS(Pedidos!$J$2:$J$501,Pedidos!$B$2:$B$501,A179))</f>
        <v/>
      </c>
      <c r="D179" s="5">
        <f>IF(A179="","",MAX(0,Config!$B$2-C179))</f>
        <v/>
      </c>
      <c r="E179" s="5">
        <f>IF(A179="","",MAX(0,Config!$B$3-C179))</f>
        <v/>
      </c>
      <c r="F179" s="5">
        <f>IF(A179="","",IF(COUNTIFS(Pedidos!$B$2:$B$501,A179,Pedidos!$D$2:$D$501,"Canje llavero")&gt;0,"Sí","No"))</f>
        <v/>
      </c>
      <c r="G179" s="5">
        <f>IF(A179="","",IF(COUNTIFS(Pedidos!$B$2:$B$501,A179,Pedidos!$D$2:$D$501,"Canje cápsula")&gt;0,"Sí","No"))</f>
        <v/>
      </c>
      <c r="H179" s="5">
        <f>IF(A179="","",IF(AND(C179&gt;=Config!$B$3,G179="No"),"¡Le toca abrir la cápsula!",IF(AND(C179&gt;=Config!$B$2,F179="No"),"¡Le toca llavero con nombre!",IF(C179&lt;Config!$B$2,"Faltan "&amp;D179&amp;" para el llavero","Faltan "&amp;E179&amp;" para la cápsula"))))</f>
        <v/>
      </c>
    </row>
    <row r="180">
      <c r="A180" s="11" t="n"/>
      <c r="B180" s="5">
        <f>IF(A180="","",IFERROR(INDEX(Pedidos!$C$2:$C$501,MATCH(A180,Pedidos!$B$2:$B$501,0)),""))</f>
        <v/>
      </c>
      <c r="C180" s="5">
        <f>IF(A180="","",SUMIFS(Pedidos!$J$2:$J$501,Pedidos!$B$2:$B$501,A180))</f>
        <v/>
      </c>
      <c r="D180" s="5">
        <f>IF(A180="","",MAX(0,Config!$B$2-C180))</f>
        <v/>
      </c>
      <c r="E180" s="5">
        <f>IF(A180="","",MAX(0,Config!$B$3-C180))</f>
        <v/>
      </c>
      <c r="F180" s="5">
        <f>IF(A180="","",IF(COUNTIFS(Pedidos!$B$2:$B$501,A180,Pedidos!$D$2:$D$501,"Canje llavero")&gt;0,"Sí","No"))</f>
        <v/>
      </c>
      <c r="G180" s="5">
        <f>IF(A180="","",IF(COUNTIFS(Pedidos!$B$2:$B$501,A180,Pedidos!$D$2:$D$501,"Canje cápsula")&gt;0,"Sí","No"))</f>
        <v/>
      </c>
      <c r="H180" s="5">
        <f>IF(A180="","",IF(AND(C180&gt;=Config!$B$3,G180="No"),"¡Le toca abrir la cápsula!",IF(AND(C180&gt;=Config!$B$2,F180="No"),"¡Le toca llavero con nombre!",IF(C180&lt;Config!$B$2,"Faltan "&amp;D180&amp;" para el llavero","Faltan "&amp;E180&amp;" para la cápsula"))))</f>
        <v/>
      </c>
    </row>
    <row r="181">
      <c r="A181" s="11" t="n"/>
      <c r="B181" s="5">
        <f>IF(A181="","",IFERROR(INDEX(Pedidos!$C$2:$C$501,MATCH(A181,Pedidos!$B$2:$B$501,0)),""))</f>
        <v/>
      </c>
      <c r="C181" s="5">
        <f>IF(A181="","",SUMIFS(Pedidos!$J$2:$J$501,Pedidos!$B$2:$B$501,A181))</f>
        <v/>
      </c>
      <c r="D181" s="5">
        <f>IF(A181="","",MAX(0,Config!$B$2-C181))</f>
        <v/>
      </c>
      <c r="E181" s="5">
        <f>IF(A181="","",MAX(0,Config!$B$3-C181))</f>
        <v/>
      </c>
      <c r="F181" s="5">
        <f>IF(A181="","",IF(COUNTIFS(Pedidos!$B$2:$B$501,A181,Pedidos!$D$2:$D$501,"Canje llavero")&gt;0,"Sí","No"))</f>
        <v/>
      </c>
      <c r="G181" s="5">
        <f>IF(A181="","",IF(COUNTIFS(Pedidos!$B$2:$B$501,A181,Pedidos!$D$2:$D$501,"Canje cápsula")&gt;0,"Sí","No"))</f>
        <v/>
      </c>
      <c r="H181" s="5">
        <f>IF(A181="","",IF(AND(C181&gt;=Config!$B$3,G181="No"),"¡Le toca abrir la cápsula!",IF(AND(C181&gt;=Config!$B$2,F181="No"),"¡Le toca llavero con nombre!",IF(C181&lt;Config!$B$2,"Faltan "&amp;D181&amp;" para el llavero","Faltan "&amp;E181&amp;" para la cápsula"))))</f>
        <v/>
      </c>
    </row>
    <row r="182">
      <c r="A182" s="11" t="n"/>
      <c r="B182" s="5">
        <f>IF(A182="","",IFERROR(INDEX(Pedidos!$C$2:$C$501,MATCH(A182,Pedidos!$B$2:$B$501,0)),""))</f>
        <v/>
      </c>
      <c r="C182" s="5">
        <f>IF(A182="","",SUMIFS(Pedidos!$J$2:$J$501,Pedidos!$B$2:$B$501,A182))</f>
        <v/>
      </c>
      <c r="D182" s="5">
        <f>IF(A182="","",MAX(0,Config!$B$2-C182))</f>
        <v/>
      </c>
      <c r="E182" s="5">
        <f>IF(A182="","",MAX(0,Config!$B$3-C182))</f>
        <v/>
      </c>
      <c r="F182" s="5">
        <f>IF(A182="","",IF(COUNTIFS(Pedidos!$B$2:$B$501,A182,Pedidos!$D$2:$D$501,"Canje llavero")&gt;0,"Sí","No"))</f>
        <v/>
      </c>
      <c r="G182" s="5">
        <f>IF(A182="","",IF(COUNTIFS(Pedidos!$B$2:$B$501,A182,Pedidos!$D$2:$D$501,"Canje cápsula")&gt;0,"Sí","No"))</f>
        <v/>
      </c>
      <c r="H182" s="5">
        <f>IF(A182="","",IF(AND(C182&gt;=Config!$B$3,G182="No"),"¡Le toca abrir la cápsula!",IF(AND(C182&gt;=Config!$B$2,F182="No"),"¡Le toca llavero con nombre!",IF(C182&lt;Config!$B$2,"Faltan "&amp;D182&amp;" para el llavero","Faltan "&amp;E182&amp;" para la cápsula"))))</f>
        <v/>
      </c>
    </row>
    <row r="183">
      <c r="A183" s="11" t="n"/>
      <c r="B183" s="5">
        <f>IF(A183="","",IFERROR(INDEX(Pedidos!$C$2:$C$501,MATCH(A183,Pedidos!$B$2:$B$501,0)),""))</f>
        <v/>
      </c>
      <c r="C183" s="5">
        <f>IF(A183="","",SUMIFS(Pedidos!$J$2:$J$501,Pedidos!$B$2:$B$501,A183))</f>
        <v/>
      </c>
      <c r="D183" s="5">
        <f>IF(A183="","",MAX(0,Config!$B$2-C183))</f>
        <v/>
      </c>
      <c r="E183" s="5">
        <f>IF(A183="","",MAX(0,Config!$B$3-C183))</f>
        <v/>
      </c>
      <c r="F183" s="5">
        <f>IF(A183="","",IF(COUNTIFS(Pedidos!$B$2:$B$501,A183,Pedidos!$D$2:$D$501,"Canje llavero")&gt;0,"Sí","No"))</f>
        <v/>
      </c>
      <c r="G183" s="5">
        <f>IF(A183="","",IF(COUNTIFS(Pedidos!$B$2:$B$501,A183,Pedidos!$D$2:$D$501,"Canje cápsula")&gt;0,"Sí","No"))</f>
        <v/>
      </c>
      <c r="H183" s="5">
        <f>IF(A183="","",IF(AND(C183&gt;=Config!$B$3,G183="No"),"¡Le toca abrir la cápsula!",IF(AND(C183&gt;=Config!$B$2,F183="No"),"¡Le toca llavero con nombre!",IF(C183&lt;Config!$B$2,"Faltan "&amp;D183&amp;" para el llavero","Faltan "&amp;E183&amp;" para la cápsula"))))</f>
        <v/>
      </c>
    </row>
    <row r="184">
      <c r="A184" s="11" t="n"/>
      <c r="B184" s="5">
        <f>IF(A184="","",IFERROR(INDEX(Pedidos!$C$2:$C$501,MATCH(A184,Pedidos!$B$2:$B$501,0)),""))</f>
        <v/>
      </c>
      <c r="C184" s="5">
        <f>IF(A184="","",SUMIFS(Pedidos!$J$2:$J$501,Pedidos!$B$2:$B$501,A184))</f>
        <v/>
      </c>
      <c r="D184" s="5">
        <f>IF(A184="","",MAX(0,Config!$B$2-C184))</f>
        <v/>
      </c>
      <c r="E184" s="5">
        <f>IF(A184="","",MAX(0,Config!$B$3-C184))</f>
        <v/>
      </c>
      <c r="F184" s="5">
        <f>IF(A184="","",IF(COUNTIFS(Pedidos!$B$2:$B$501,A184,Pedidos!$D$2:$D$501,"Canje llavero")&gt;0,"Sí","No"))</f>
        <v/>
      </c>
      <c r="G184" s="5">
        <f>IF(A184="","",IF(COUNTIFS(Pedidos!$B$2:$B$501,A184,Pedidos!$D$2:$D$501,"Canje cápsula")&gt;0,"Sí","No"))</f>
        <v/>
      </c>
      <c r="H184" s="5">
        <f>IF(A184="","",IF(AND(C184&gt;=Config!$B$3,G184="No"),"¡Le toca abrir la cápsula!",IF(AND(C184&gt;=Config!$B$2,F184="No"),"¡Le toca llavero con nombre!",IF(C184&lt;Config!$B$2,"Faltan "&amp;D184&amp;" para el llavero","Faltan "&amp;E184&amp;" para la cápsula"))))</f>
        <v/>
      </c>
    </row>
    <row r="185">
      <c r="A185" s="11" t="n"/>
      <c r="B185" s="5">
        <f>IF(A185="","",IFERROR(INDEX(Pedidos!$C$2:$C$501,MATCH(A185,Pedidos!$B$2:$B$501,0)),""))</f>
        <v/>
      </c>
      <c r="C185" s="5">
        <f>IF(A185="","",SUMIFS(Pedidos!$J$2:$J$501,Pedidos!$B$2:$B$501,A185))</f>
        <v/>
      </c>
      <c r="D185" s="5">
        <f>IF(A185="","",MAX(0,Config!$B$2-C185))</f>
        <v/>
      </c>
      <c r="E185" s="5">
        <f>IF(A185="","",MAX(0,Config!$B$3-C185))</f>
        <v/>
      </c>
      <c r="F185" s="5">
        <f>IF(A185="","",IF(COUNTIFS(Pedidos!$B$2:$B$501,A185,Pedidos!$D$2:$D$501,"Canje llavero")&gt;0,"Sí","No"))</f>
        <v/>
      </c>
      <c r="G185" s="5">
        <f>IF(A185="","",IF(COUNTIFS(Pedidos!$B$2:$B$501,A185,Pedidos!$D$2:$D$501,"Canje cápsula")&gt;0,"Sí","No"))</f>
        <v/>
      </c>
      <c r="H185" s="5">
        <f>IF(A185="","",IF(AND(C185&gt;=Config!$B$3,G185="No"),"¡Le toca abrir la cápsula!",IF(AND(C185&gt;=Config!$B$2,F185="No"),"¡Le toca llavero con nombre!",IF(C185&lt;Config!$B$2,"Faltan "&amp;D185&amp;" para el llavero","Faltan "&amp;E185&amp;" para la cápsula"))))</f>
        <v/>
      </c>
    </row>
    <row r="186">
      <c r="A186" s="11" t="n"/>
      <c r="B186" s="5">
        <f>IF(A186="","",IFERROR(INDEX(Pedidos!$C$2:$C$501,MATCH(A186,Pedidos!$B$2:$B$501,0)),""))</f>
        <v/>
      </c>
      <c r="C186" s="5">
        <f>IF(A186="","",SUMIFS(Pedidos!$J$2:$J$501,Pedidos!$B$2:$B$501,A186))</f>
        <v/>
      </c>
      <c r="D186" s="5">
        <f>IF(A186="","",MAX(0,Config!$B$2-C186))</f>
        <v/>
      </c>
      <c r="E186" s="5">
        <f>IF(A186="","",MAX(0,Config!$B$3-C186))</f>
        <v/>
      </c>
      <c r="F186" s="5">
        <f>IF(A186="","",IF(COUNTIFS(Pedidos!$B$2:$B$501,A186,Pedidos!$D$2:$D$501,"Canje llavero")&gt;0,"Sí","No"))</f>
        <v/>
      </c>
      <c r="G186" s="5">
        <f>IF(A186="","",IF(COUNTIFS(Pedidos!$B$2:$B$501,A186,Pedidos!$D$2:$D$501,"Canje cápsula")&gt;0,"Sí","No"))</f>
        <v/>
      </c>
      <c r="H186" s="5">
        <f>IF(A186="","",IF(AND(C186&gt;=Config!$B$3,G186="No"),"¡Le toca abrir la cápsula!",IF(AND(C186&gt;=Config!$B$2,F186="No"),"¡Le toca llavero con nombre!",IF(C186&lt;Config!$B$2,"Faltan "&amp;D186&amp;" para el llavero","Faltan "&amp;E186&amp;" para la cápsula"))))</f>
        <v/>
      </c>
    </row>
    <row r="187">
      <c r="A187" s="11" t="n"/>
      <c r="B187" s="5">
        <f>IF(A187="","",IFERROR(INDEX(Pedidos!$C$2:$C$501,MATCH(A187,Pedidos!$B$2:$B$501,0)),""))</f>
        <v/>
      </c>
      <c r="C187" s="5">
        <f>IF(A187="","",SUMIFS(Pedidos!$J$2:$J$501,Pedidos!$B$2:$B$501,A187))</f>
        <v/>
      </c>
      <c r="D187" s="5">
        <f>IF(A187="","",MAX(0,Config!$B$2-C187))</f>
        <v/>
      </c>
      <c r="E187" s="5">
        <f>IF(A187="","",MAX(0,Config!$B$3-C187))</f>
        <v/>
      </c>
      <c r="F187" s="5">
        <f>IF(A187="","",IF(COUNTIFS(Pedidos!$B$2:$B$501,A187,Pedidos!$D$2:$D$501,"Canje llavero")&gt;0,"Sí","No"))</f>
        <v/>
      </c>
      <c r="G187" s="5">
        <f>IF(A187="","",IF(COUNTIFS(Pedidos!$B$2:$B$501,A187,Pedidos!$D$2:$D$501,"Canje cápsula")&gt;0,"Sí","No"))</f>
        <v/>
      </c>
      <c r="H187" s="5">
        <f>IF(A187="","",IF(AND(C187&gt;=Config!$B$3,G187="No"),"¡Le toca abrir la cápsula!",IF(AND(C187&gt;=Config!$B$2,F187="No"),"¡Le toca llavero con nombre!",IF(C187&lt;Config!$B$2,"Faltan "&amp;D187&amp;" para el llavero","Faltan "&amp;E187&amp;" para la cápsula"))))</f>
        <v/>
      </c>
    </row>
    <row r="188">
      <c r="A188" s="11" t="n"/>
      <c r="B188" s="5">
        <f>IF(A188="","",IFERROR(INDEX(Pedidos!$C$2:$C$501,MATCH(A188,Pedidos!$B$2:$B$501,0)),""))</f>
        <v/>
      </c>
      <c r="C188" s="5">
        <f>IF(A188="","",SUMIFS(Pedidos!$J$2:$J$501,Pedidos!$B$2:$B$501,A188))</f>
        <v/>
      </c>
      <c r="D188" s="5">
        <f>IF(A188="","",MAX(0,Config!$B$2-C188))</f>
        <v/>
      </c>
      <c r="E188" s="5">
        <f>IF(A188="","",MAX(0,Config!$B$3-C188))</f>
        <v/>
      </c>
      <c r="F188" s="5">
        <f>IF(A188="","",IF(COUNTIFS(Pedidos!$B$2:$B$501,A188,Pedidos!$D$2:$D$501,"Canje llavero")&gt;0,"Sí","No"))</f>
        <v/>
      </c>
      <c r="G188" s="5">
        <f>IF(A188="","",IF(COUNTIFS(Pedidos!$B$2:$B$501,A188,Pedidos!$D$2:$D$501,"Canje cápsula")&gt;0,"Sí","No"))</f>
        <v/>
      </c>
      <c r="H188" s="5">
        <f>IF(A188="","",IF(AND(C188&gt;=Config!$B$3,G188="No"),"¡Le toca abrir la cápsula!",IF(AND(C188&gt;=Config!$B$2,F188="No"),"¡Le toca llavero con nombre!",IF(C188&lt;Config!$B$2,"Faltan "&amp;D188&amp;" para el llavero","Faltan "&amp;E188&amp;" para la cápsula"))))</f>
        <v/>
      </c>
    </row>
    <row r="189">
      <c r="A189" s="11" t="n"/>
      <c r="B189" s="5">
        <f>IF(A189="","",IFERROR(INDEX(Pedidos!$C$2:$C$501,MATCH(A189,Pedidos!$B$2:$B$501,0)),""))</f>
        <v/>
      </c>
      <c r="C189" s="5">
        <f>IF(A189="","",SUMIFS(Pedidos!$J$2:$J$501,Pedidos!$B$2:$B$501,A189))</f>
        <v/>
      </c>
      <c r="D189" s="5">
        <f>IF(A189="","",MAX(0,Config!$B$2-C189))</f>
        <v/>
      </c>
      <c r="E189" s="5">
        <f>IF(A189="","",MAX(0,Config!$B$3-C189))</f>
        <v/>
      </c>
      <c r="F189" s="5">
        <f>IF(A189="","",IF(COUNTIFS(Pedidos!$B$2:$B$501,A189,Pedidos!$D$2:$D$501,"Canje llavero")&gt;0,"Sí","No"))</f>
        <v/>
      </c>
      <c r="G189" s="5">
        <f>IF(A189="","",IF(COUNTIFS(Pedidos!$B$2:$B$501,A189,Pedidos!$D$2:$D$501,"Canje cápsula")&gt;0,"Sí","No"))</f>
        <v/>
      </c>
      <c r="H189" s="5">
        <f>IF(A189="","",IF(AND(C189&gt;=Config!$B$3,G189="No"),"¡Le toca abrir la cápsula!",IF(AND(C189&gt;=Config!$B$2,F189="No"),"¡Le toca llavero con nombre!",IF(C189&lt;Config!$B$2,"Faltan "&amp;D189&amp;" para el llavero","Faltan "&amp;E189&amp;" para la cápsula"))))</f>
        <v/>
      </c>
    </row>
    <row r="190">
      <c r="A190" s="11" t="n"/>
      <c r="B190" s="5">
        <f>IF(A190="","",IFERROR(INDEX(Pedidos!$C$2:$C$501,MATCH(A190,Pedidos!$B$2:$B$501,0)),""))</f>
        <v/>
      </c>
      <c r="C190" s="5">
        <f>IF(A190="","",SUMIFS(Pedidos!$J$2:$J$501,Pedidos!$B$2:$B$501,A190))</f>
        <v/>
      </c>
      <c r="D190" s="5">
        <f>IF(A190="","",MAX(0,Config!$B$2-C190))</f>
        <v/>
      </c>
      <c r="E190" s="5">
        <f>IF(A190="","",MAX(0,Config!$B$3-C190))</f>
        <v/>
      </c>
      <c r="F190" s="5">
        <f>IF(A190="","",IF(COUNTIFS(Pedidos!$B$2:$B$501,A190,Pedidos!$D$2:$D$501,"Canje llavero")&gt;0,"Sí","No"))</f>
        <v/>
      </c>
      <c r="G190" s="5">
        <f>IF(A190="","",IF(COUNTIFS(Pedidos!$B$2:$B$501,A190,Pedidos!$D$2:$D$501,"Canje cápsula")&gt;0,"Sí","No"))</f>
        <v/>
      </c>
      <c r="H190" s="5">
        <f>IF(A190="","",IF(AND(C190&gt;=Config!$B$3,G190="No"),"¡Le toca abrir la cápsula!",IF(AND(C190&gt;=Config!$B$2,F190="No"),"¡Le toca llavero con nombre!",IF(C190&lt;Config!$B$2,"Faltan "&amp;D190&amp;" para el llavero","Faltan "&amp;E190&amp;" para la cápsula"))))</f>
        <v/>
      </c>
    </row>
    <row r="191">
      <c r="A191" s="11" t="n"/>
      <c r="B191" s="5">
        <f>IF(A191="","",IFERROR(INDEX(Pedidos!$C$2:$C$501,MATCH(A191,Pedidos!$B$2:$B$501,0)),""))</f>
        <v/>
      </c>
      <c r="C191" s="5">
        <f>IF(A191="","",SUMIFS(Pedidos!$J$2:$J$501,Pedidos!$B$2:$B$501,A191))</f>
        <v/>
      </c>
      <c r="D191" s="5">
        <f>IF(A191="","",MAX(0,Config!$B$2-C191))</f>
        <v/>
      </c>
      <c r="E191" s="5">
        <f>IF(A191="","",MAX(0,Config!$B$3-C191))</f>
        <v/>
      </c>
      <c r="F191" s="5">
        <f>IF(A191="","",IF(COUNTIFS(Pedidos!$B$2:$B$501,A191,Pedidos!$D$2:$D$501,"Canje llavero")&gt;0,"Sí","No"))</f>
        <v/>
      </c>
      <c r="G191" s="5">
        <f>IF(A191="","",IF(COUNTIFS(Pedidos!$B$2:$B$501,A191,Pedidos!$D$2:$D$501,"Canje cápsula")&gt;0,"Sí","No"))</f>
        <v/>
      </c>
      <c r="H191" s="5">
        <f>IF(A191="","",IF(AND(C191&gt;=Config!$B$3,G191="No"),"¡Le toca abrir la cápsula!",IF(AND(C191&gt;=Config!$B$2,F191="No"),"¡Le toca llavero con nombre!",IF(C191&lt;Config!$B$2,"Faltan "&amp;D191&amp;" para el llavero","Faltan "&amp;E191&amp;" para la cápsula"))))</f>
        <v/>
      </c>
    </row>
    <row r="192">
      <c r="A192" s="11" t="n"/>
      <c r="B192" s="5">
        <f>IF(A192="","",IFERROR(INDEX(Pedidos!$C$2:$C$501,MATCH(A192,Pedidos!$B$2:$B$501,0)),""))</f>
        <v/>
      </c>
      <c r="C192" s="5">
        <f>IF(A192="","",SUMIFS(Pedidos!$J$2:$J$501,Pedidos!$B$2:$B$501,A192))</f>
        <v/>
      </c>
      <c r="D192" s="5">
        <f>IF(A192="","",MAX(0,Config!$B$2-C192))</f>
        <v/>
      </c>
      <c r="E192" s="5">
        <f>IF(A192="","",MAX(0,Config!$B$3-C192))</f>
        <v/>
      </c>
      <c r="F192" s="5">
        <f>IF(A192="","",IF(COUNTIFS(Pedidos!$B$2:$B$501,A192,Pedidos!$D$2:$D$501,"Canje llavero")&gt;0,"Sí","No"))</f>
        <v/>
      </c>
      <c r="G192" s="5">
        <f>IF(A192="","",IF(COUNTIFS(Pedidos!$B$2:$B$501,A192,Pedidos!$D$2:$D$501,"Canje cápsula")&gt;0,"Sí","No"))</f>
        <v/>
      </c>
      <c r="H192" s="5">
        <f>IF(A192="","",IF(AND(C192&gt;=Config!$B$3,G192="No"),"¡Le toca abrir la cápsula!",IF(AND(C192&gt;=Config!$B$2,F192="No"),"¡Le toca llavero con nombre!",IF(C192&lt;Config!$B$2,"Faltan "&amp;D192&amp;" para el llavero","Faltan "&amp;E192&amp;" para la cápsula"))))</f>
        <v/>
      </c>
    </row>
    <row r="193">
      <c r="A193" s="11" t="n"/>
      <c r="B193" s="5">
        <f>IF(A193="","",IFERROR(INDEX(Pedidos!$C$2:$C$501,MATCH(A193,Pedidos!$B$2:$B$501,0)),""))</f>
        <v/>
      </c>
      <c r="C193" s="5">
        <f>IF(A193="","",SUMIFS(Pedidos!$J$2:$J$501,Pedidos!$B$2:$B$501,A193))</f>
        <v/>
      </c>
      <c r="D193" s="5">
        <f>IF(A193="","",MAX(0,Config!$B$2-C193))</f>
        <v/>
      </c>
      <c r="E193" s="5">
        <f>IF(A193="","",MAX(0,Config!$B$3-C193))</f>
        <v/>
      </c>
      <c r="F193" s="5">
        <f>IF(A193="","",IF(COUNTIFS(Pedidos!$B$2:$B$501,A193,Pedidos!$D$2:$D$501,"Canje llavero")&gt;0,"Sí","No"))</f>
        <v/>
      </c>
      <c r="G193" s="5">
        <f>IF(A193="","",IF(COUNTIFS(Pedidos!$B$2:$B$501,A193,Pedidos!$D$2:$D$501,"Canje cápsula")&gt;0,"Sí","No"))</f>
        <v/>
      </c>
      <c r="H193" s="5">
        <f>IF(A193="","",IF(AND(C193&gt;=Config!$B$3,G193="No"),"¡Le toca abrir la cápsula!",IF(AND(C193&gt;=Config!$B$2,F193="No"),"¡Le toca llavero con nombre!",IF(C193&lt;Config!$B$2,"Faltan "&amp;D193&amp;" para el llavero","Faltan "&amp;E193&amp;" para la cápsula"))))</f>
        <v/>
      </c>
    </row>
    <row r="194">
      <c r="A194" s="11" t="n"/>
      <c r="B194" s="5">
        <f>IF(A194="","",IFERROR(INDEX(Pedidos!$C$2:$C$501,MATCH(A194,Pedidos!$B$2:$B$501,0)),""))</f>
        <v/>
      </c>
      <c r="C194" s="5">
        <f>IF(A194="","",SUMIFS(Pedidos!$J$2:$J$501,Pedidos!$B$2:$B$501,A194))</f>
        <v/>
      </c>
      <c r="D194" s="5">
        <f>IF(A194="","",MAX(0,Config!$B$2-C194))</f>
        <v/>
      </c>
      <c r="E194" s="5">
        <f>IF(A194="","",MAX(0,Config!$B$3-C194))</f>
        <v/>
      </c>
      <c r="F194" s="5">
        <f>IF(A194="","",IF(COUNTIFS(Pedidos!$B$2:$B$501,A194,Pedidos!$D$2:$D$501,"Canje llavero")&gt;0,"Sí","No"))</f>
        <v/>
      </c>
      <c r="G194" s="5">
        <f>IF(A194="","",IF(COUNTIFS(Pedidos!$B$2:$B$501,A194,Pedidos!$D$2:$D$501,"Canje cápsula")&gt;0,"Sí","No"))</f>
        <v/>
      </c>
      <c r="H194" s="5">
        <f>IF(A194="","",IF(AND(C194&gt;=Config!$B$3,G194="No"),"¡Le toca abrir la cápsula!",IF(AND(C194&gt;=Config!$B$2,F194="No"),"¡Le toca llavero con nombre!",IF(C194&lt;Config!$B$2,"Faltan "&amp;D194&amp;" para el llavero","Faltan "&amp;E194&amp;" para la cápsula"))))</f>
        <v/>
      </c>
    </row>
    <row r="195">
      <c r="A195" s="11" t="n"/>
      <c r="B195" s="5">
        <f>IF(A195="","",IFERROR(INDEX(Pedidos!$C$2:$C$501,MATCH(A195,Pedidos!$B$2:$B$501,0)),""))</f>
        <v/>
      </c>
      <c r="C195" s="5">
        <f>IF(A195="","",SUMIFS(Pedidos!$J$2:$J$501,Pedidos!$B$2:$B$501,A195))</f>
        <v/>
      </c>
      <c r="D195" s="5">
        <f>IF(A195="","",MAX(0,Config!$B$2-C195))</f>
        <v/>
      </c>
      <c r="E195" s="5">
        <f>IF(A195="","",MAX(0,Config!$B$3-C195))</f>
        <v/>
      </c>
      <c r="F195" s="5">
        <f>IF(A195="","",IF(COUNTIFS(Pedidos!$B$2:$B$501,A195,Pedidos!$D$2:$D$501,"Canje llavero")&gt;0,"Sí","No"))</f>
        <v/>
      </c>
      <c r="G195" s="5">
        <f>IF(A195="","",IF(COUNTIFS(Pedidos!$B$2:$B$501,A195,Pedidos!$D$2:$D$501,"Canje cápsula")&gt;0,"Sí","No"))</f>
        <v/>
      </c>
      <c r="H195" s="5">
        <f>IF(A195="","",IF(AND(C195&gt;=Config!$B$3,G195="No"),"¡Le toca abrir la cápsula!",IF(AND(C195&gt;=Config!$B$2,F195="No"),"¡Le toca llavero con nombre!",IF(C195&lt;Config!$B$2,"Faltan "&amp;D195&amp;" para el llavero","Faltan "&amp;E195&amp;" para la cápsula"))))</f>
        <v/>
      </c>
    </row>
    <row r="196">
      <c r="A196" s="11" t="n"/>
      <c r="B196" s="5">
        <f>IF(A196="","",IFERROR(INDEX(Pedidos!$C$2:$C$501,MATCH(A196,Pedidos!$B$2:$B$501,0)),""))</f>
        <v/>
      </c>
      <c r="C196" s="5">
        <f>IF(A196="","",SUMIFS(Pedidos!$J$2:$J$501,Pedidos!$B$2:$B$501,A196))</f>
        <v/>
      </c>
      <c r="D196" s="5">
        <f>IF(A196="","",MAX(0,Config!$B$2-C196))</f>
        <v/>
      </c>
      <c r="E196" s="5">
        <f>IF(A196="","",MAX(0,Config!$B$3-C196))</f>
        <v/>
      </c>
      <c r="F196" s="5">
        <f>IF(A196="","",IF(COUNTIFS(Pedidos!$B$2:$B$501,A196,Pedidos!$D$2:$D$501,"Canje llavero")&gt;0,"Sí","No"))</f>
        <v/>
      </c>
      <c r="G196" s="5">
        <f>IF(A196="","",IF(COUNTIFS(Pedidos!$B$2:$B$501,A196,Pedidos!$D$2:$D$501,"Canje cápsula")&gt;0,"Sí","No"))</f>
        <v/>
      </c>
      <c r="H196" s="5">
        <f>IF(A196="","",IF(AND(C196&gt;=Config!$B$3,G196="No"),"¡Le toca abrir la cápsula!",IF(AND(C196&gt;=Config!$B$2,F196="No"),"¡Le toca llavero con nombre!",IF(C196&lt;Config!$B$2,"Faltan "&amp;D196&amp;" para el llavero","Faltan "&amp;E196&amp;" para la cápsula"))))</f>
        <v/>
      </c>
    </row>
    <row r="197">
      <c r="A197" s="11" t="n"/>
      <c r="B197" s="5">
        <f>IF(A197="","",IFERROR(INDEX(Pedidos!$C$2:$C$501,MATCH(A197,Pedidos!$B$2:$B$501,0)),""))</f>
        <v/>
      </c>
      <c r="C197" s="5">
        <f>IF(A197="","",SUMIFS(Pedidos!$J$2:$J$501,Pedidos!$B$2:$B$501,A197))</f>
        <v/>
      </c>
      <c r="D197" s="5">
        <f>IF(A197="","",MAX(0,Config!$B$2-C197))</f>
        <v/>
      </c>
      <c r="E197" s="5">
        <f>IF(A197="","",MAX(0,Config!$B$3-C197))</f>
        <v/>
      </c>
      <c r="F197" s="5">
        <f>IF(A197="","",IF(COUNTIFS(Pedidos!$B$2:$B$501,A197,Pedidos!$D$2:$D$501,"Canje llavero")&gt;0,"Sí","No"))</f>
        <v/>
      </c>
      <c r="G197" s="5">
        <f>IF(A197="","",IF(COUNTIFS(Pedidos!$B$2:$B$501,A197,Pedidos!$D$2:$D$501,"Canje cápsula")&gt;0,"Sí","No"))</f>
        <v/>
      </c>
      <c r="H197" s="5">
        <f>IF(A197="","",IF(AND(C197&gt;=Config!$B$3,G197="No"),"¡Le toca abrir la cápsula!",IF(AND(C197&gt;=Config!$B$2,F197="No"),"¡Le toca llavero con nombre!",IF(C197&lt;Config!$B$2,"Faltan "&amp;D197&amp;" para el llavero","Faltan "&amp;E197&amp;" para la cápsula"))))</f>
        <v/>
      </c>
    </row>
    <row r="198">
      <c r="A198" s="11" t="n"/>
      <c r="B198" s="5">
        <f>IF(A198="","",IFERROR(INDEX(Pedidos!$C$2:$C$501,MATCH(A198,Pedidos!$B$2:$B$501,0)),""))</f>
        <v/>
      </c>
      <c r="C198" s="5">
        <f>IF(A198="","",SUMIFS(Pedidos!$J$2:$J$501,Pedidos!$B$2:$B$501,A198))</f>
        <v/>
      </c>
      <c r="D198" s="5">
        <f>IF(A198="","",MAX(0,Config!$B$2-C198))</f>
        <v/>
      </c>
      <c r="E198" s="5">
        <f>IF(A198="","",MAX(0,Config!$B$3-C198))</f>
        <v/>
      </c>
      <c r="F198" s="5">
        <f>IF(A198="","",IF(COUNTIFS(Pedidos!$B$2:$B$501,A198,Pedidos!$D$2:$D$501,"Canje llavero")&gt;0,"Sí","No"))</f>
        <v/>
      </c>
      <c r="G198" s="5">
        <f>IF(A198="","",IF(COUNTIFS(Pedidos!$B$2:$B$501,A198,Pedidos!$D$2:$D$501,"Canje cápsula")&gt;0,"Sí","No"))</f>
        <v/>
      </c>
      <c r="H198" s="5">
        <f>IF(A198="","",IF(AND(C198&gt;=Config!$B$3,G198="No"),"¡Le toca abrir la cápsula!",IF(AND(C198&gt;=Config!$B$2,F198="No"),"¡Le toca llavero con nombre!",IF(C198&lt;Config!$B$2,"Faltan "&amp;D198&amp;" para el llavero","Faltan "&amp;E198&amp;" para la cápsula"))))</f>
        <v/>
      </c>
    </row>
    <row r="199">
      <c r="A199" s="11" t="n"/>
      <c r="B199" s="5">
        <f>IF(A199="","",IFERROR(INDEX(Pedidos!$C$2:$C$501,MATCH(A199,Pedidos!$B$2:$B$501,0)),""))</f>
        <v/>
      </c>
      <c r="C199" s="5">
        <f>IF(A199="","",SUMIFS(Pedidos!$J$2:$J$501,Pedidos!$B$2:$B$501,A199))</f>
        <v/>
      </c>
      <c r="D199" s="5">
        <f>IF(A199="","",MAX(0,Config!$B$2-C199))</f>
        <v/>
      </c>
      <c r="E199" s="5">
        <f>IF(A199="","",MAX(0,Config!$B$3-C199))</f>
        <v/>
      </c>
      <c r="F199" s="5">
        <f>IF(A199="","",IF(COUNTIFS(Pedidos!$B$2:$B$501,A199,Pedidos!$D$2:$D$501,"Canje llavero")&gt;0,"Sí","No"))</f>
        <v/>
      </c>
      <c r="G199" s="5">
        <f>IF(A199="","",IF(COUNTIFS(Pedidos!$B$2:$B$501,A199,Pedidos!$D$2:$D$501,"Canje cápsula")&gt;0,"Sí","No"))</f>
        <v/>
      </c>
      <c r="H199" s="5">
        <f>IF(A199="","",IF(AND(C199&gt;=Config!$B$3,G199="No"),"¡Le toca abrir la cápsula!",IF(AND(C199&gt;=Config!$B$2,F199="No"),"¡Le toca llavero con nombre!",IF(C199&lt;Config!$B$2,"Faltan "&amp;D199&amp;" para el llavero","Faltan "&amp;E199&amp;" para la cápsula"))))</f>
        <v/>
      </c>
    </row>
    <row r="200">
      <c r="A200" s="11" t="n"/>
      <c r="B200" s="5">
        <f>IF(A200="","",IFERROR(INDEX(Pedidos!$C$2:$C$501,MATCH(A200,Pedidos!$B$2:$B$501,0)),""))</f>
        <v/>
      </c>
      <c r="C200" s="5">
        <f>IF(A200="","",SUMIFS(Pedidos!$J$2:$J$501,Pedidos!$B$2:$B$501,A200))</f>
        <v/>
      </c>
      <c r="D200" s="5">
        <f>IF(A200="","",MAX(0,Config!$B$2-C200))</f>
        <v/>
      </c>
      <c r="E200" s="5">
        <f>IF(A200="","",MAX(0,Config!$B$3-C200))</f>
        <v/>
      </c>
      <c r="F200" s="5">
        <f>IF(A200="","",IF(COUNTIFS(Pedidos!$B$2:$B$501,A200,Pedidos!$D$2:$D$501,"Canje llavero")&gt;0,"Sí","No"))</f>
        <v/>
      </c>
      <c r="G200" s="5">
        <f>IF(A200="","",IF(COUNTIFS(Pedidos!$B$2:$B$501,A200,Pedidos!$D$2:$D$501,"Canje cápsula")&gt;0,"Sí","No"))</f>
        <v/>
      </c>
      <c r="H200" s="5">
        <f>IF(A200="","",IF(AND(C200&gt;=Config!$B$3,G200="No"),"¡Le toca abrir la cápsula!",IF(AND(C200&gt;=Config!$B$2,F200="No"),"¡Le toca llavero con nombre!",IF(C200&lt;Config!$B$2,"Faltan "&amp;D200&amp;" para el llavero","Faltan "&amp;E200&amp;" para la cápsula"))))</f>
        <v/>
      </c>
    </row>
    <row r="201">
      <c r="A201" s="11" t="n"/>
      <c r="B201" s="5">
        <f>IF(A201="","",IFERROR(INDEX(Pedidos!$C$2:$C$501,MATCH(A201,Pedidos!$B$2:$B$501,0)),""))</f>
        <v/>
      </c>
      <c r="C201" s="5">
        <f>IF(A201="","",SUMIFS(Pedidos!$J$2:$J$501,Pedidos!$B$2:$B$501,A201))</f>
        <v/>
      </c>
      <c r="D201" s="5">
        <f>IF(A201="","",MAX(0,Config!$B$2-C201))</f>
        <v/>
      </c>
      <c r="E201" s="5">
        <f>IF(A201="","",MAX(0,Config!$B$3-C201))</f>
        <v/>
      </c>
      <c r="F201" s="5">
        <f>IF(A201="","",IF(COUNTIFS(Pedidos!$B$2:$B$501,A201,Pedidos!$D$2:$D$501,"Canje llavero")&gt;0,"Sí","No"))</f>
        <v/>
      </c>
      <c r="G201" s="5">
        <f>IF(A201="","",IF(COUNTIFS(Pedidos!$B$2:$B$501,A201,Pedidos!$D$2:$D$501,"Canje cápsula")&gt;0,"Sí","No"))</f>
        <v/>
      </c>
      <c r="H201" s="5">
        <f>IF(A201="","",IF(AND(C201&gt;=Config!$B$3,G201="No"),"¡Le toca abrir la cápsula!",IF(AND(C201&gt;=Config!$B$2,F201="No"),"¡Le toca llavero con nombre!",IF(C201&lt;Config!$B$2,"Faltan "&amp;D201&amp;" para el llavero","Faltan "&amp;E201&amp;" para la cápsula"))))</f>
        <v/>
      </c>
    </row>
    <row r="202">
      <c r="A202" s="11" t="n"/>
      <c r="B202" s="5">
        <f>IF(A202="","",IFERROR(INDEX(Pedidos!$C$2:$C$501,MATCH(A202,Pedidos!$B$2:$B$501,0)),""))</f>
        <v/>
      </c>
      <c r="C202" s="5">
        <f>IF(A202="","",SUMIFS(Pedidos!$J$2:$J$501,Pedidos!$B$2:$B$501,A202))</f>
        <v/>
      </c>
      <c r="D202" s="5">
        <f>IF(A202="","",MAX(0,Config!$B$2-C202))</f>
        <v/>
      </c>
      <c r="E202" s="5">
        <f>IF(A202="","",MAX(0,Config!$B$3-C202))</f>
        <v/>
      </c>
      <c r="F202" s="5">
        <f>IF(A202="","",IF(COUNTIFS(Pedidos!$B$2:$B$501,A202,Pedidos!$D$2:$D$501,"Canje llavero")&gt;0,"Sí","No"))</f>
        <v/>
      </c>
      <c r="G202" s="5">
        <f>IF(A202="","",IF(COUNTIFS(Pedidos!$B$2:$B$501,A202,Pedidos!$D$2:$D$501,"Canje cápsula")&gt;0,"Sí","No"))</f>
        <v/>
      </c>
      <c r="H202" s="5">
        <f>IF(A202="","",IF(AND(C202&gt;=Config!$B$3,G202="No"),"¡Le toca abrir la cápsula!",IF(AND(C202&gt;=Config!$B$2,F202="No"),"¡Le toca llavero con nombre!",IF(C202&lt;Config!$B$2,"Faltan "&amp;D202&amp;" para el llavero","Faltan "&amp;E202&amp;" para la cápsula"))))</f>
        <v/>
      </c>
    </row>
    <row r="203">
      <c r="A203" s="11" t="n"/>
      <c r="B203" s="5">
        <f>IF(A203="","",IFERROR(INDEX(Pedidos!$C$2:$C$501,MATCH(A203,Pedidos!$B$2:$B$501,0)),""))</f>
        <v/>
      </c>
      <c r="C203" s="5">
        <f>IF(A203="","",SUMIFS(Pedidos!$J$2:$J$501,Pedidos!$B$2:$B$501,A203))</f>
        <v/>
      </c>
      <c r="D203" s="5">
        <f>IF(A203="","",MAX(0,Config!$B$2-C203))</f>
        <v/>
      </c>
      <c r="E203" s="5">
        <f>IF(A203="","",MAX(0,Config!$B$3-C203))</f>
        <v/>
      </c>
      <c r="F203" s="5">
        <f>IF(A203="","",IF(COUNTIFS(Pedidos!$B$2:$B$501,A203,Pedidos!$D$2:$D$501,"Canje llavero")&gt;0,"Sí","No"))</f>
        <v/>
      </c>
      <c r="G203" s="5">
        <f>IF(A203="","",IF(COUNTIFS(Pedidos!$B$2:$B$501,A203,Pedidos!$D$2:$D$501,"Canje cápsula")&gt;0,"Sí","No"))</f>
        <v/>
      </c>
      <c r="H203" s="5">
        <f>IF(A203="","",IF(AND(C203&gt;=Config!$B$3,G203="No"),"¡Le toca abrir la cápsula!",IF(AND(C203&gt;=Config!$B$2,F203="No"),"¡Le toca llavero con nombre!",IF(C203&lt;Config!$B$2,"Faltan "&amp;D203&amp;" para el llavero","Faltan "&amp;E203&amp;" para la cápsula"))))</f>
        <v/>
      </c>
    </row>
    <row r="204">
      <c r="A204" s="11" t="n"/>
      <c r="B204" s="5">
        <f>IF(A204="","",IFERROR(INDEX(Pedidos!$C$2:$C$501,MATCH(A204,Pedidos!$B$2:$B$501,0)),""))</f>
        <v/>
      </c>
      <c r="C204" s="5">
        <f>IF(A204="","",SUMIFS(Pedidos!$J$2:$J$501,Pedidos!$B$2:$B$501,A204))</f>
        <v/>
      </c>
      <c r="D204" s="5">
        <f>IF(A204="","",MAX(0,Config!$B$2-C204))</f>
        <v/>
      </c>
      <c r="E204" s="5">
        <f>IF(A204="","",MAX(0,Config!$B$3-C204))</f>
        <v/>
      </c>
      <c r="F204" s="5">
        <f>IF(A204="","",IF(COUNTIFS(Pedidos!$B$2:$B$501,A204,Pedidos!$D$2:$D$501,"Canje llavero")&gt;0,"Sí","No"))</f>
        <v/>
      </c>
      <c r="G204" s="5">
        <f>IF(A204="","",IF(COUNTIFS(Pedidos!$B$2:$B$501,A204,Pedidos!$D$2:$D$501,"Canje cápsula")&gt;0,"Sí","No"))</f>
        <v/>
      </c>
      <c r="H204" s="5">
        <f>IF(A204="","",IF(AND(C204&gt;=Config!$B$3,G204="No"),"¡Le toca abrir la cápsula!",IF(AND(C204&gt;=Config!$B$2,F204="No"),"¡Le toca llavero con nombre!",IF(C204&lt;Config!$B$2,"Faltan "&amp;D204&amp;" para el llavero","Faltan "&amp;E204&amp;" para la cápsula"))))</f>
        <v/>
      </c>
    </row>
    <row r="205">
      <c r="A205" s="11" t="n"/>
      <c r="B205" s="5">
        <f>IF(A205="","",IFERROR(INDEX(Pedidos!$C$2:$C$501,MATCH(A205,Pedidos!$B$2:$B$501,0)),""))</f>
        <v/>
      </c>
      <c r="C205" s="5">
        <f>IF(A205="","",SUMIFS(Pedidos!$J$2:$J$501,Pedidos!$B$2:$B$501,A205))</f>
        <v/>
      </c>
      <c r="D205" s="5">
        <f>IF(A205="","",MAX(0,Config!$B$2-C205))</f>
        <v/>
      </c>
      <c r="E205" s="5">
        <f>IF(A205="","",MAX(0,Config!$B$3-C205))</f>
        <v/>
      </c>
      <c r="F205" s="5">
        <f>IF(A205="","",IF(COUNTIFS(Pedidos!$B$2:$B$501,A205,Pedidos!$D$2:$D$501,"Canje llavero")&gt;0,"Sí","No"))</f>
        <v/>
      </c>
      <c r="G205" s="5">
        <f>IF(A205="","",IF(COUNTIFS(Pedidos!$B$2:$B$501,A205,Pedidos!$D$2:$D$501,"Canje cápsula")&gt;0,"Sí","No"))</f>
        <v/>
      </c>
      <c r="H205" s="5">
        <f>IF(A205="","",IF(AND(C205&gt;=Config!$B$3,G205="No"),"¡Le toca abrir la cápsula!",IF(AND(C205&gt;=Config!$B$2,F205="No"),"¡Le toca llavero con nombre!",IF(C205&lt;Config!$B$2,"Faltan "&amp;D205&amp;" para el llavero","Faltan "&amp;E205&amp;" para la cápsula"))))</f>
        <v/>
      </c>
    </row>
    <row r="206">
      <c r="A206" s="11" t="n"/>
      <c r="B206" s="5">
        <f>IF(A206="","",IFERROR(INDEX(Pedidos!$C$2:$C$501,MATCH(A206,Pedidos!$B$2:$B$501,0)),""))</f>
        <v/>
      </c>
      <c r="C206" s="5">
        <f>IF(A206="","",SUMIFS(Pedidos!$J$2:$J$501,Pedidos!$B$2:$B$501,A206))</f>
        <v/>
      </c>
      <c r="D206" s="5">
        <f>IF(A206="","",MAX(0,Config!$B$2-C206))</f>
        <v/>
      </c>
      <c r="E206" s="5">
        <f>IF(A206="","",MAX(0,Config!$B$3-C206))</f>
        <v/>
      </c>
      <c r="F206" s="5">
        <f>IF(A206="","",IF(COUNTIFS(Pedidos!$B$2:$B$501,A206,Pedidos!$D$2:$D$501,"Canje llavero")&gt;0,"Sí","No"))</f>
        <v/>
      </c>
      <c r="G206" s="5">
        <f>IF(A206="","",IF(COUNTIFS(Pedidos!$B$2:$B$501,A206,Pedidos!$D$2:$D$501,"Canje cápsula")&gt;0,"Sí","No"))</f>
        <v/>
      </c>
      <c r="H206" s="5">
        <f>IF(A206="","",IF(AND(C206&gt;=Config!$B$3,G206="No"),"¡Le toca abrir la cápsula!",IF(AND(C206&gt;=Config!$B$2,F206="No"),"¡Le toca llavero con nombre!",IF(C206&lt;Config!$B$2,"Faltan "&amp;D206&amp;" para el llavero","Faltan "&amp;E206&amp;" para la cápsula"))))</f>
        <v/>
      </c>
    </row>
    <row r="207">
      <c r="A207" s="11" t="n"/>
      <c r="B207" s="5">
        <f>IF(A207="","",IFERROR(INDEX(Pedidos!$C$2:$C$501,MATCH(A207,Pedidos!$B$2:$B$501,0)),""))</f>
        <v/>
      </c>
      <c r="C207" s="5">
        <f>IF(A207="","",SUMIFS(Pedidos!$J$2:$J$501,Pedidos!$B$2:$B$501,A207))</f>
        <v/>
      </c>
      <c r="D207" s="5">
        <f>IF(A207="","",MAX(0,Config!$B$2-C207))</f>
        <v/>
      </c>
      <c r="E207" s="5">
        <f>IF(A207="","",MAX(0,Config!$B$3-C207))</f>
        <v/>
      </c>
      <c r="F207" s="5">
        <f>IF(A207="","",IF(COUNTIFS(Pedidos!$B$2:$B$501,A207,Pedidos!$D$2:$D$501,"Canje llavero")&gt;0,"Sí","No"))</f>
        <v/>
      </c>
      <c r="G207" s="5">
        <f>IF(A207="","",IF(COUNTIFS(Pedidos!$B$2:$B$501,A207,Pedidos!$D$2:$D$501,"Canje cápsula")&gt;0,"Sí","No"))</f>
        <v/>
      </c>
      <c r="H207" s="5">
        <f>IF(A207="","",IF(AND(C207&gt;=Config!$B$3,G207="No"),"¡Le toca abrir la cápsula!",IF(AND(C207&gt;=Config!$B$2,F207="No"),"¡Le toca llavero con nombre!",IF(C207&lt;Config!$B$2,"Faltan "&amp;D207&amp;" para el llavero","Faltan "&amp;E207&amp;" para la cápsula"))))</f>
        <v/>
      </c>
    </row>
    <row r="208">
      <c r="A208" s="11" t="n"/>
      <c r="B208" s="5">
        <f>IF(A208="","",IFERROR(INDEX(Pedidos!$C$2:$C$501,MATCH(A208,Pedidos!$B$2:$B$501,0)),""))</f>
        <v/>
      </c>
      <c r="C208" s="5">
        <f>IF(A208="","",SUMIFS(Pedidos!$J$2:$J$501,Pedidos!$B$2:$B$501,A208))</f>
        <v/>
      </c>
      <c r="D208" s="5">
        <f>IF(A208="","",MAX(0,Config!$B$2-C208))</f>
        <v/>
      </c>
      <c r="E208" s="5">
        <f>IF(A208="","",MAX(0,Config!$B$3-C208))</f>
        <v/>
      </c>
      <c r="F208" s="5">
        <f>IF(A208="","",IF(COUNTIFS(Pedidos!$B$2:$B$501,A208,Pedidos!$D$2:$D$501,"Canje llavero")&gt;0,"Sí","No"))</f>
        <v/>
      </c>
      <c r="G208" s="5">
        <f>IF(A208="","",IF(COUNTIFS(Pedidos!$B$2:$B$501,A208,Pedidos!$D$2:$D$501,"Canje cápsula")&gt;0,"Sí","No"))</f>
        <v/>
      </c>
      <c r="H208" s="5">
        <f>IF(A208="","",IF(AND(C208&gt;=Config!$B$3,G208="No"),"¡Le toca abrir la cápsula!",IF(AND(C208&gt;=Config!$B$2,F208="No"),"¡Le toca llavero con nombre!",IF(C208&lt;Config!$B$2,"Faltan "&amp;D208&amp;" para el llavero","Faltan "&amp;E208&amp;" para la cápsula"))))</f>
        <v/>
      </c>
    </row>
    <row r="209">
      <c r="A209" s="11" t="n"/>
      <c r="B209" s="5">
        <f>IF(A209="","",IFERROR(INDEX(Pedidos!$C$2:$C$501,MATCH(A209,Pedidos!$B$2:$B$501,0)),""))</f>
        <v/>
      </c>
      <c r="C209" s="5">
        <f>IF(A209="","",SUMIFS(Pedidos!$J$2:$J$501,Pedidos!$B$2:$B$501,A209))</f>
        <v/>
      </c>
      <c r="D209" s="5">
        <f>IF(A209="","",MAX(0,Config!$B$2-C209))</f>
        <v/>
      </c>
      <c r="E209" s="5">
        <f>IF(A209="","",MAX(0,Config!$B$3-C209))</f>
        <v/>
      </c>
      <c r="F209" s="5">
        <f>IF(A209="","",IF(COUNTIFS(Pedidos!$B$2:$B$501,A209,Pedidos!$D$2:$D$501,"Canje llavero")&gt;0,"Sí","No"))</f>
        <v/>
      </c>
      <c r="G209" s="5">
        <f>IF(A209="","",IF(COUNTIFS(Pedidos!$B$2:$B$501,A209,Pedidos!$D$2:$D$501,"Canje cápsula")&gt;0,"Sí","No"))</f>
        <v/>
      </c>
      <c r="H209" s="5">
        <f>IF(A209="","",IF(AND(C209&gt;=Config!$B$3,G209="No"),"¡Le toca abrir la cápsula!",IF(AND(C209&gt;=Config!$B$2,F209="No"),"¡Le toca llavero con nombre!",IF(C209&lt;Config!$B$2,"Faltan "&amp;D209&amp;" para el llavero","Faltan "&amp;E209&amp;" para la cápsula"))))</f>
        <v/>
      </c>
    </row>
    <row r="210">
      <c r="A210" s="11" t="n"/>
      <c r="B210" s="5">
        <f>IF(A210="","",IFERROR(INDEX(Pedidos!$C$2:$C$501,MATCH(A210,Pedidos!$B$2:$B$501,0)),""))</f>
        <v/>
      </c>
      <c r="C210" s="5">
        <f>IF(A210="","",SUMIFS(Pedidos!$J$2:$J$501,Pedidos!$B$2:$B$501,A210))</f>
        <v/>
      </c>
      <c r="D210" s="5">
        <f>IF(A210="","",MAX(0,Config!$B$2-C210))</f>
        <v/>
      </c>
      <c r="E210" s="5">
        <f>IF(A210="","",MAX(0,Config!$B$3-C210))</f>
        <v/>
      </c>
      <c r="F210" s="5">
        <f>IF(A210="","",IF(COUNTIFS(Pedidos!$B$2:$B$501,A210,Pedidos!$D$2:$D$501,"Canje llavero")&gt;0,"Sí","No"))</f>
        <v/>
      </c>
      <c r="G210" s="5">
        <f>IF(A210="","",IF(COUNTIFS(Pedidos!$B$2:$B$501,A210,Pedidos!$D$2:$D$501,"Canje cápsula")&gt;0,"Sí","No"))</f>
        <v/>
      </c>
      <c r="H210" s="5">
        <f>IF(A210="","",IF(AND(C210&gt;=Config!$B$3,G210="No"),"¡Le toca abrir la cápsula!",IF(AND(C210&gt;=Config!$B$2,F210="No"),"¡Le toca llavero con nombre!",IF(C210&lt;Config!$B$2,"Faltan "&amp;D210&amp;" para el llavero","Faltan "&amp;E210&amp;" para la cápsula"))))</f>
        <v/>
      </c>
    </row>
    <row r="211">
      <c r="A211" s="11" t="n"/>
      <c r="B211" s="5">
        <f>IF(A211="","",IFERROR(INDEX(Pedidos!$C$2:$C$501,MATCH(A211,Pedidos!$B$2:$B$501,0)),""))</f>
        <v/>
      </c>
      <c r="C211" s="5">
        <f>IF(A211="","",SUMIFS(Pedidos!$J$2:$J$501,Pedidos!$B$2:$B$501,A211))</f>
        <v/>
      </c>
      <c r="D211" s="5">
        <f>IF(A211="","",MAX(0,Config!$B$2-C211))</f>
        <v/>
      </c>
      <c r="E211" s="5">
        <f>IF(A211="","",MAX(0,Config!$B$3-C211))</f>
        <v/>
      </c>
      <c r="F211" s="5">
        <f>IF(A211="","",IF(COUNTIFS(Pedidos!$B$2:$B$501,A211,Pedidos!$D$2:$D$501,"Canje llavero")&gt;0,"Sí","No"))</f>
        <v/>
      </c>
      <c r="G211" s="5">
        <f>IF(A211="","",IF(COUNTIFS(Pedidos!$B$2:$B$501,A211,Pedidos!$D$2:$D$501,"Canje cápsula")&gt;0,"Sí","No"))</f>
        <v/>
      </c>
      <c r="H211" s="5">
        <f>IF(A211="","",IF(AND(C211&gt;=Config!$B$3,G211="No"),"¡Le toca abrir la cápsula!",IF(AND(C211&gt;=Config!$B$2,F211="No"),"¡Le toca llavero con nombre!",IF(C211&lt;Config!$B$2,"Faltan "&amp;D211&amp;" para el llavero","Faltan "&amp;E211&amp;" para la cápsula"))))</f>
        <v/>
      </c>
    </row>
    <row r="212">
      <c r="A212" s="11" t="n"/>
      <c r="B212" s="5">
        <f>IF(A212="","",IFERROR(INDEX(Pedidos!$C$2:$C$501,MATCH(A212,Pedidos!$B$2:$B$501,0)),""))</f>
        <v/>
      </c>
      <c r="C212" s="5">
        <f>IF(A212="","",SUMIFS(Pedidos!$J$2:$J$501,Pedidos!$B$2:$B$501,A212))</f>
        <v/>
      </c>
      <c r="D212" s="5">
        <f>IF(A212="","",MAX(0,Config!$B$2-C212))</f>
        <v/>
      </c>
      <c r="E212" s="5">
        <f>IF(A212="","",MAX(0,Config!$B$3-C212))</f>
        <v/>
      </c>
      <c r="F212" s="5">
        <f>IF(A212="","",IF(COUNTIFS(Pedidos!$B$2:$B$501,A212,Pedidos!$D$2:$D$501,"Canje llavero")&gt;0,"Sí","No"))</f>
        <v/>
      </c>
      <c r="G212" s="5">
        <f>IF(A212="","",IF(COUNTIFS(Pedidos!$B$2:$B$501,A212,Pedidos!$D$2:$D$501,"Canje cápsula")&gt;0,"Sí","No"))</f>
        <v/>
      </c>
      <c r="H212" s="5">
        <f>IF(A212="","",IF(AND(C212&gt;=Config!$B$3,G212="No"),"¡Le toca abrir la cápsula!",IF(AND(C212&gt;=Config!$B$2,F212="No"),"¡Le toca llavero con nombre!",IF(C212&lt;Config!$B$2,"Faltan "&amp;D212&amp;" para el llavero","Faltan "&amp;E212&amp;" para la cápsula"))))</f>
        <v/>
      </c>
    </row>
    <row r="213">
      <c r="A213" s="11" t="n"/>
      <c r="B213" s="5">
        <f>IF(A213="","",IFERROR(INDEX(Pedidos!$C$2:$C$501,MATCH(A213,Pedidos!$B$2:$B$501,0)),""))</f>
        <v/>
      </c>
      <c r="C213" s="5">
        <f>IF(A213="","",SUMIFS(Pedidos!$J$2:$J$501,Pedidos!$B$2:$B$501,A213))</f>
        <v/>
      </c>
      <c r="D213" s="5">
        <f>IF(A213="","",MAX(0,Config!$B$2-C213))</f>
        <v/>
      </c>
      <c r="E213" s="5">
        <f>IF(A213="","",MAX(0,Config!$B$3-C213))</f>
        <v/>
      </c>
      <c r="F213" s="5">
        <f>IF(A213="","",IF(COUNTIFS(Pedidos!$B$2:$B$501,A213,Pedidos!$D$2:$D$501,"Canje llavero")&gt;0,"Sí","No"))</f>
        <v/>
      </c>
      <c r="G213" s="5">
        <f>IF(A213="","",IF(COUNTIFS(Pedidos!$B$2:$B$501,A213,Pedidos!$D$2:$D$501,"Canje cápsula")&gt;0,"Sí","No"))</f>
        <v/>
      </c>
      <c r="H213" s="5">
        <f>IF(A213="","",IF(AND(C213&gt;=Config!$B$3,G213="No"),"¡Le toca abrir la cápsula!",IF(AND(C213&gt;=Config!$B$2,F213="No"),"¡Le toca llavero con nombre!",IF(C213&lt;Config!$B$2,"Faltan "&amp;D213&amp;" para el llavero","Faltan "&amp;E213&amp;" para la cápsula"))))</f>
        <v/>
      </c>
    </row>
    <row r="214">
      <c r="A214" s="11" t="n"/>
      <c r="B214" s="5">
        <f>IF(A214="","",IFERROR(INDEX(Pedidos!$C$2:$C$501,MATCH(A214,Pedidos!$B$2:$B$501,0)),""))</f>
        <v/>
      </c>
      <c r="C214" s="5">
        <f>IF(A214="","",SUMIFS(Pedidos!$J$2:$J$501,Pedidos!$B$2:$B$501,A214))</f>
        <v/>
      </c>
      <c r="D214" s="5">
        <f>IF(A214="","",MAX(0,Config!$B$2-C214))</f>
        <v/>
      </c>
      <c r="E214" s="5">
        <f>IF(A214="","",MAX(0,Config!$B$3-C214))</f>
        <v/>
      </c>
      <c r="F214" s="5">
        <f>IF(A214="","",IF(COUNTIFS(Pedidos!$B$2:$B$501,A214,Pedidos!$D$2:$D$501,"Canje llavero")&gt;0,"Sí","No"))</f>
        <v/>
      </c>
      <c r="G214" s="5">
        <f>IF(A214="","",IF(COUNTIFS(Pedidos!$B$2:$B$501,A214,Pedidos!$D$2:$D$501,"Canje cápsula")&gt;0,"Sí","No"))</f>
        <v/>
      </c>
      <c r="H214" s="5">
        <f>IF(A214="","",IF(AND(C214&gt;=Config!$B$3,G214="No"),"¡Le toca abrir la cápsula!",IF(AND(C214&gt;=Config!$B$2,F214="No"),"¡Le toca llavero con nombre!",IF(C214&lt;Config!$B$2,"Faltan "&amp;D214&amp;" para el llavero","Faltan "&amp;E214&amp;" para la cápsula"))))</f>
        <v/>
      </c>
    </row>
    <row r="215">
      <c r="A215" s="11" t="n"/>
      <c r="B215" s="5">
        <f>IF(A215="","",IFERROR(INDEX(Pedidos!$C$2:$C$501,MATCH(A215,Pedidos!$B$2:$B$501,0)),""))</f>
        <v/>
      </c>
      <c r="C215" s="5">
        <f>IF(A215="","",SUMIFS(Pedidos!$J$2:$J$501,Pedidos!$B$2:$B$501,A215))</f>
        <v/>
      </c>
      <c r="D215" s="5">
        <f>IF(A215="","",MAX(0,Config!$B$2-C215))</f>
        <v/>
      </c>
      <c r="E215" s="5">
        <f>IF(A215="","",MAX(0,Config!$B$3-C215))</f>
        <v/>
      </c>
      <c r="F215" s="5">
        <f>IF(A215="","",IF(COUNTIFS(Pedidos!$B$2:$B$501,A215,Pedidos!$D$2:$D$501,"Canje llavero")&gt;0,"Sí","No"))</f>
        <v/>
      </c>
      <c r="G215" s="5">
        <f>IF(A215="","",IF(COUNTIFS(Pedidos!$B$2:$B$501,A215,Pedidos!$D$2:$D$501,"Canje cápsula")&gt;0,"Sí","No"))</f>
        <v/>
      </c>
      <c r="H215" s="5">
        <f>IF(A215="","",IF(AND(C215&gt;=Config!$B$3,G215="No"),"¡Le toca abrir la cápsula!",IF(AND(C215&gt;=Config!$B$2,F215="No"),"¡Le toca llavero con nombre!",IF(C215&lt;Config!$B$2,"Faltan "&amp;D215&amp;" para el llavero","Faltan "&amp;E215&amp;" para la cápsula"))))</f>
        <v/>
      </c>
    </row>
    <row r="216">
      <c r="A216" s="11" t="n"/>
      <c r="B216" s="5">
        <f>IF(A216="","",IFERROR(INDEX(Pedidos!$C$2:$C$501,MATCH(A216,Pedidos!$B$2:$B$501,0)),""))</f>
        <v/>
      </c>
      <c r="C216" s="5">
        <f>IF(A216="","",SUMIFS(Pedidos!$J$2:$J$501,Pedidos!$B$2:$B$501,A216))</f>
        <v/>
      </c>
      <c r="D216" s="5">
        <f>IF(A216="","",MAX(0,Config!$B$2-C216))</f>
        <v/>
      </c>
      <c r="E216" s="5">
        <f>IF(A216="","",MAX(0,Config!$B$3-C216))</f>
        <v/>
      </c>
      <c r="F216" s="5">
        <f>IF(A216="","",IF(COUNTIFS(Pedidos!$B$2:$B$501,A216,Pedidos!$D$2:$D$501,"Canje llavero")&gt;0,"Sí","No"))</f>
        <v/>
      </c>
      <c r="G216" s="5">
        <f>IF(A216="","",IF(COUNTIFS(Pedidos!$B$2:$B$501,A216,Pedidos!$D$2:$D$501,"Canje cápsula")&gt;0,"Sí","No"))</f>
        <v/>
      </c>
      <c r="H216" s="5">
        <f>IF(A216="","",IF(AND(C216&gt;=Config!$B$3,G216="No"),"¡Le toca abrir la cápsula!",IF(AND(C216&gt;=Config!$B$2,F216="No"),"¡Le toca llavero con nombre!",IF(C216&lt;Config!$B$2,"Faltan "&amp;D216&amp;" para el llavero","Faltan "&amp;E216&amp;" para la cápsula"))))</f>
        <v/>
      </c>
    </row>
    <row r="217">
      <c r="A217" s="11" t="n"/>
      <c r="B217" s="5">
        <f>IF(A217="","",IFERROR(INDEX(Pedidos!$C$2:$C$501,MATCH(A217,Pedidos!$B$2:$B$501,0)),""))</f>
        <v/>
      </c>
      <c r="C217" s="5">
        <f>IF(A217="","",SUMIFS(Pedidos!$J$2:$J$501,Pedidos!$B$2:$B$501,A217))</f>
        <v/>
      </c>
      <c r="D217" s="5">
        <f>IF(A217="","",MAX(0,Config!$B$2-C217))</f>
        <v/>
      </c>
      <c r="E217" s="5">
        <f>IF(A217="","",MAX(0,Config!$B$3-C217))</f>
        <v/>
      </c>
      <c r="F217" s="5">
        <f>IF(A217="","",IF(COUNTIFS(Pedidos!$B$2:$B$501,A217,Pedidos!$D$2:$D$501,"Canje llavero")&gt;0,"Sí","No"))</f>
        <v/>
      </c>
      <c r="G217" s="5">
        <f>IF(A217="","",IF(COUNTIFS(Pedidos!$B$2:$B$501,A217,Pedidos!$D$2:$D$501,"Canje cápsula")&gt;0,"Sí","No"))</f>
        <v/>
      </c>
      <c r="H217" s="5">
        <f>IF(A217="","",IF(AND(C217&gt;=Config!$B$3,G217="No"),"¡Le toca abrir la cápsula!",IF(AND(C217&gt;=Config!$B$2,F217="No"),"¡Le toca llavero con nombre!",IF(C217&lt;Config!$B$2,"Faltan "&amp;D217&amp;" para el llavero","Faltan "&amp;E217&amp;" para la cápsula"))))</f>
        <v/>
      </c>
    </row>
    <row r="218">
      <c r="A218" s="11" t="n"/>
      <c r="B218" s="5">
        <f>IF(A218="","",IFERROR(INDEX(Pedidos!$C$2:$C$501,MATCH(A218,Pedidos!$B$2:$B$501,0)),""))</f>
        <v/>
      </c>
      <c r="C218" s="5">
        <f>IF(A218="","",SUMIFS(Pedidos!$J$2:$J$501,Pedidos!$B$2:$B$501,A218))</f>
        <v/>
      </c>
      <c r="D218" s="5">
        <f>IF(A218="","",MAX(0,Config!$B$2-C218))</f>
        <v/>
      </c>
      <c r="E218" s="5">
        <f>IF(A218="","",MAX(0,Config!$B$3-C218))</f>
        <v/>
      </c>
      <c r="F218" s="5">
        <f>IF(A218="","",IF(COUNTIFS(Pedidos!$B$2:$B$501,A218,Pedidos!$D$2:$D$501,"Canje llavero")&gt;0,"Sí","No"))</f>
        <v/>
      </c>
      <c r="G218" s="5">
        <f>IF(A218="","",IF(COUNTIFS(Pedidos!$B$2:$B$501,A218,Pedidos!$D$2:$D$501,"Canje cápsula")&gt;0,"Sí","No"))</f>
        <v/>
      </c>
      <c r="H218" s="5">
        <f>IF(A218="","",IF(AND(C218&gt;=Config!$B$3,G218="No"),"¡Le toca abrir la cápsula!",IF(AND(C218&gt;=Config!$B$2,F218="No"),"¡Le toca llavero con nombre!",IF(C218&lt;Config!$B$2,"Faltan "&amp;D218&amp;" para el llavero","Faltan "&amp;E218&amp;" para la cápsula"))))</f>
        <v/>
      </c>
    </row>
    <row r="219">
      <c r="A219" s="11" t="n"/>
      <c r="B219" s="5">
        <f>IF(A219="","",IFERROR(INDEX(Pedidos!$C$2:$C$501,MATCH(A219,Pedidos!$B$2:$B$501,0)),""))</f>
        <v/>
      </c>
      <c r="C219" s="5">
        <f>IF(A219="","",SUMIFS(Pedidos!$J$2:$J$501,Pedidos!$B$2:$B$501,A219))</f>
        <v/>
      </c>
      <c r="D219" s="5">
        <f>IF(A219="","",MAX(0,Config!$B$2-C219))</f>
        <v/>
      </c>
      <c r="E219" s="5">
        <f>IF(A219="","",MAX(0,Config!$B$3-C219))</f>
        <v/>
      </c>
      <c r="F219" s="5">
        <f>IF(A219="","",IF(COUNTIFS(Pedidos!$B$2:$B$501,A219,Pedidos!$D$2:$D$501,"Canje llavero")&gt;0,"Sí","No"))</f>
        <v/>
      </c>
      <c r="G219" s="5">
        <f>IF(A219="","",IF(COUNTIFS(Pedidos!$B$2:$B$501,A219,Pedidos!$D$2:$D$501,"Canje cápsula")&gt;0,"Sí","No"))</f>
        <v/>
      </c>
      <c r="H219" s="5">
        <f>IF(A219="","",IF(AND(C219&gt;=Config!$B$3,G219="No"),"¡Le toca abrir la cápsula!",IF(AND(C219&gt;=Config!$B$2,F219="No"),"¡Le toca llavero con nombre!",IF(C219&lt;Config!$B$2,"Faltan "&amp;D219&amp;" para el llavero","Faltan "&amp;E219&amp;" para la cápsula"))))</f>
        <v/>
      </c>
    </row>
    <row r="220">
      <c r="A220" s="11" t="n"/>
      <c r="B220" s="5">
        <f>IF(A220="","",IFERROR(INDEX(Pedidos!$C$2:$C$501,MATCH(A220,Pedidos!$B$2:$B$501,0)),""))</f>
        <v/>
      </c>
      <c r="C220" s="5">
        <f>IF(A220="","",SUMIFS(Pedidos!$J$2:$J$501,Pedidos!$B$2:$B$501,A220))</f>
        <v/>
      </c>
      <c r="D220" s="5">
        <f>IF(A220="","",MAX(0,Config!$B$2-C220))</f>
        <v/>
      </c>
      <c r="E220" s="5">
        <f>IF(A220="","",MAX(0,Config!$B$3-C220))</f>
        <v/>
      </c>
      <c r="F220" s="5">
        <f>IF(A220="","",IF(COUNTIFS(Pedidos!$B$2:$B$501,A220,Pedidos!$D$2:$D$501,"Canje llavero")&gt;0,"Sí","No"))</f>
        <v/>
      </c>
      <c r="G220" s="5">
        <f>IF(A220="","",IF(COUNTIFS(Pedidos!$B$2:$B$501,A220,Pedidos!$D$2:$D$501,"Canje cápsula")&gt;0,"Sí","No"))</f>
        <v/>
      </c>
      <c r="H220" s="5">
        <f>IF(A220="","",IF(AND(C220&gt;=Config!$B$3,G220="No"),"¡Le toca abrir la cápsula!",IF(AND(C220&gt;=Config!$B$2,F220="No"),"¡Le toca llavero con nombre!",IF(C220&lt;Config!$B$2,"Faltan "&amp;D220&amp;" para el llavero","Faltan "&amp;E220&amp;" para la cápsula"))))</f>
        <v/>
      </c>
    </row>
    <row r="221">
      <c r="A221" s="11" t="n"/>
      <c r="B221" s="5">
        <f>IF(A221="","",IFERROR(INDEX(Pedidos!$C$2:$C$501,MATCH(A221,Pedidos!$B$2:$B$501,0)),""))</f>
        <v/>
      </c>
      <c r="C221" s="5">
        <f>IF(A221="","",SUMIFS(Pedidos!$J$2:$J$501,Pedidos!$B$2:$B$501,A221))</f>
        <v/>
      </c>
      <c r="D221" s="5">
        <f>IF(A221="","",MAX(0,Config!$B$2-C221))</f>
        <v/>
      </c>
      <c r="E221" s="5">
        <f>IF(A221="","",MAX(0,Config!$B$3-C221))</f>
        <v/>
      </c>
      <c r="F221" s="5">
        <f>IF(A221="","",IF(COUNTIFS(Pedidos!$B$2:$B$501,A221,Pedidos!$D$2:$D$501,"Canje llavero")&gt;0,"Sí","No"))</f>
        <v/>
      </c>
      <c r="G221" s="5">
        <f>IF(A221="","",IF(COUNTIFS(Pedidos!$B$2:$B$501,A221,Pedidos!$D$2:$D$501,"Canje cápsula")&gt;0,"Sí","No"))</f>
        <v/>
      </c>
      <c r="H221" s="5">
        <f>IF(A221="","",IF(AND(C221&gt;=Config!$B$3,G221="No"),"¡Le toca abrir la cápsula!",IF(AND(C221&gt;=Config!$B$2,F221="No"),"¡Le toca llavero con nombre!",IF(C221&lt;Config!$B$2,"Faltan "&amp;D221&amp;" para el llavero","Faltan "&amp;E221&amp;" para la cápsula"))))</f>
        <v/>
      </c>
    </row>
    <row r="222">
      <c r="A222" s="11" t="n"/>
      <c r="B222" s="5">
        <f>IF(A222="","",IFERROR(INDEX(Pedidos!$C$2:$C$501,MATCH(A222,Pedidos!$B$2:$B$501,0)),""))</f>
        <v/>
      </c>
      <c r="C222" s="5">
        <f>IF(A222="","",SUMIFS(Pedidos!$J$2:$J$501,Pedidos!$B$2:$B$501,A222))</f>
        <v/>
      </c>
      <c r="D222" s="5">
        <f>IF(A222="","",MAX(0,Config!$B$2-C222))</f>
        <v/>
      </c>
      <c r="E222" s="5">
        <f>IF(A222="","",MAX(0,Config!$B$3-C222))</f>
        <v/>
      </c>
      <c r="F222" s="5">
        <f>IF(A222="","",IF(COUNTIFS(Pedidos!$B$2:$B$501,A222,Pedidos!$D$2:$D$501,"Canje llavero")&gt;0,"Sí","No"))</f>
        <v/>
      </c>
      <c r="G222" s="5">
        <f>IF(A222="","",IF(COUNTIFS(Pedidos!$B$2:$B$501,A222,Pedidos!$D$2:$D$501,"Canje cápsula")&gt;0,"Sí","No"))</f>
        <v/>
      </c>
      <c r="H222" s="5">
        <f>IF(A222="","",IF(AND(C222&gt;=Config!$B$3,G222="No"),"¡Le toca abrir la cápsula!",IF(AND(C222&gt;=Config!$B$2,F222="No"),"¡Le toca llavero con nombre!",IF(C222&lt;Config!$B$2,"Faltan "&amp;D222&amp;" para el llavero","Faltan "&amp;E222&amp;" para la cápsula"))))</f>
        <v/>
      </c>
    </row>
    <row r="223">
      <c r="A223" s="11" t="n"/>
      <c r="B223" s="5">
        <f>IF(A223="","",IFERROR(INDEX(Pedidos!$C$2:$C$501,MATCH(A223,Pedidos!$B$2:$B$501,0)),""))</f>
        <v/>
      </c>
      <c r="C223" s="5">
        <f>IF(A223="","",SUMIFS(Pedidos!$J$2:$J$501,Pedidos!$B$2:$B$501,A223))</f>
        <v/>
      </c>
      <c r="D223" s="5">
        <f>IF(A223="","",MAX(0,Config!$B$2-C223))</f>
        <v/>
      </c>
      <c r="E223" s="5">
        <f>IF(A223="","",MAX(0,Config!$B$3-C223))</f>
        <v/>
      </c>
      <c r="F223" s="5">
        <f>IF(A223="","",IF(COUNTIFS(Pedidos!$B$2:$B$501,A223,Pedidos!$D$2:$D$501,"Canje llavero")&gt;0,"Sí","No"))</f>
        <v/>
      </c>
      <c r="G223" s="5">
        <f>IF(A223="","",IF(COUNTIFS(Pedidos!$B$2:$B$501,A223,Pedidos!$D$2:$D$501,"Canje cápsula")&gt;0,"Sí","No"))</f>
        <v/>
      </c>
      <c r="H223" s="5">
        <f>IF(A223="","",IF(AND(C223&gt;=Config!$B$3,G223="No"),"¡Le toca abrir la cápsula!",IF(AND(C223&gt;=Config!$B$2,F223="No"),"¡Le toca llavero con nombre!",IF(C223&lt;Config!$B$2,"Faltan "&amp;D223&amp;" para el llavero","Faltan "&amp;E223&amp;" para la cápsula"))))</f>
        <v/>
      </c>
    </row>
    <row r="224">
      <c r="A224" s="11" t="n"/>
      <c r="B224" s="5">
        <f>IF(A224="","",IFERROR(INDEX(Pedidos!$C$2:$C$501,MATCH(A224,Pedidos!$B$2:$B$501,0)),""))</f>
        <v/>
      </c>
      <c r="C224" s="5">
        <f>IF(A224="","",SUMIFS(Pedidos!$J$2:$J$501,Pedidos!$B$2:$B$501,A224))</f>
        <v/>
      </c>
      <c r="D224" s="5">
        <f>IF(A224="","",MAX(0,Config!$B$2-C224))</f>
        <v/>
      </c>
      <c r="E224" s="5">
        <f>IF(A224="","",MAX(0,Config!$B$3-C224))</f>
        <v/>
      </c>
      <c r="F224" s="5">
        <f>IF(A224="","",IF(COUNTIFS(Pedidos!$B$2:$B$501,A224,Pedidos!$D$2:$D$501,"Canje llavero")&gt;0,"Sí","No"))</f>
        <v/>
      </c>
      <c r="G224" s="5">
        <f>IF(A224="","",IF(COUNTIFS(Pedidos!$B$2:$B$501,A224,Pedidos!$D$2:$D$501,"Canje cápsula")&gt;0,"Sí","No"))</f>
        <v/>
      </c>
      <c r="H224" s="5">
        <f>IF(A224="","",IF(AND(C224&gt;=Config!$B$3,G224="No"),"¡Le toca abrir la cápsula!",IF(AND(C224&gt;=Config!$B$2,F224="No"),"¡Le toca llavero con nombre!",IF(C224&lt;Config!$B$2,"Faltan "&amp;D224&amp;" para el llavero","Faltan "&amp;E224&amp;" para la cápsula"))))</f>
        <v/>
      </c>
    </row>
    <row r="225">
      <c r="A225" s="11" t="n"/>
      <c r="B225" s="5">
        <f>IF(A225="","",IFERROR(INDEX(Pedidos!$C$2:$C$501,MATCH(A225,Pedidos!$B$2:$B$501,0)),""))</f>
        <v/>
      </c>
      <c r="C225" s="5">
        <f>IF(A225="","",SUMIFS(Pedidos!$J$2:$J$501,Pedidos!$B$2:$B$501,A225))</f>
        <v/>
      </c>
      <c r="D225" s="5">
        <f>IF(A225="","",MAX(0,Config!$B$2-C225))</f>
        <v/>
      </c>
      <c r="E225" s="5">
        <f>IF(A225="","",MAX(0,Config!$B$3-C225))</f>
        <v/>
      </c>
      <c r="F225" s="5">
        <f>IF(A225="","",IF(COUNTIFS(Pedidos!$B$2:$B$501,A225,Pedidos!$D$2:$D$501,"Canje llavero")&gt;0,"Sí","No"))</f>
        <v/>
      </c>
      <c r="G225" s="5">
        <f>IF(A225="","",IF(COUNTIFS(Pedidos!$B$2:$B$501,A225,Pedidos!$D$2:$D$501,"Canje cápsula")&gt;0,"Sí","No"))</f>
        <v/>
      </c>
      <c r="H225" s="5">
        <f>IF(A225="","",IF(AND(C225&gt;=Config!$B$3,G225="No"),"¡Le toca abrir la cápsula!",IF(AND(C225&gt;=Config!$B$2,F225="No"),"¡Le toca llavero con nombre!",IF(C225&lt;Config!$B$2,"Faltan "&amp;D225&amp;" para el llavero","Faltan "&amp;E225&amp;" para la cápsula"))))</f>
        <v/>
      </c>
    </row>
    <row r="226">
      <c r="A226" s="11" t="n"/>
      <c r="B226" s="5">
        <f>IF(A226="","",IFERROR(INDEX(Pedidos!$C$2:$C$501,MATCH(A226,Pedidos!$B$2:$B$501,0)),""))</f>
        <v/>
      </c>
      <c r="C226" s="5">
        <f>IF(A226="","",SUMIFS(Pedidos!$J$2:$J$501,Pedidos!$B$2:$B$501,A226))</f>
        <v/>
      </c>
      <c r="D226" s="5">
        <f>IF(A226="","",MAX(0,Config!$B$2-C226))</f>
        <v/>
      </c>
      <c r="E226" s="5">
        <f>IF(A226="","",MAX(0,Config!$B$3-C226))</f>
        <v/>
      </c>
      <c r="F226" s="5">
        <f>IF(A226="","",IF(COUNTIFS(Pedidos!$B$2:$B$501,A226,Pedidos!$D$2:$D$501,"Canje llavero")&gt;0,"Sí","No"))</f>
        <v/>
      </c>
      <c r="G226" s="5">
        <f>IF(A226="","",IF(COUNTIFS(Pedidos!$B$2:$B$501,A226,Pedidos!$D$2:$D$501,"Canje cápsula")&gt;0,"Sí","No"))</f>
        <v/>
      </c>
      <c r="H226" s="5">
        <f>IF(A226="","",IF(AND(C226&gt;=Config!$B$3,G226="No"),"¡Le toca abrir la cápsula!",IF(AND(C226&gt;=Config!$B$2,F226="No"),"¡Le toca llavero con nombre!",IF(C226&lt;Config!$B$2,"Faltan "&amp;D226&amp;" para el llavero","Faltan "&amp;E226&amp;" para la cápsula"))))</f>
        <v/>
      </c>
    </row>
    <row r="227">
      <c r="A227" s="11" t="n"/>
      <c r="B227" s="5">
        <f>IF(A227="","",IFERROR(INDEX(Pedidos!$C$2:$C$501,MATCH(A227,Pedidos!$B$2:$B$501,0)),""))</f>
        <v/>
      </c>
      <c r="C227" s="5">
        <f>IF(A227="","",SUMIFS(Pedidos!$J$2:$J$501,Pedidos!$B$2:$B$501,A227))</f>
        <v/>
      </c>
      <c r="D227" s="5">
        <f>IF(A227="","",MAX(0,Config!$B$2-C227))</f>
        <v/>
      </c>
      <c r="E227" s="5">
        <f>IF(A227="","",MAX(0,Config!$B$3-C227))</f>
        <v/>
      </c>
      <c r="F227" s="5">
        <f>IF(A227="","",IF(COUNTIFS(Pedidos!$B$2:$B$501,A227,Pedidos!$D$2:$D$501,"Canje llavero")&gt;0,"Sí","No"))</f>
        <v/>
      </c>
      <c r="G227" s="5">
        <f>IF(A227="","",IF(COUNTIFS(Pedidos!$B$2:$B$501,A227,Pedidos!$D$2:$D$501,"Canje cápsula")&gt;0,"Sí","No"))</f>
        <v/>
      </c>
      <c r="H227" s="5">
        <f>IF(A227="","",IF(AND(C227&gt;=Config!$B$3,G227="No"),"¡Le toca abrir la cápsula!",IF(AND(C227&gt;=Config!$B$2,F227="No"),"¡Le toca llavero con nombre!",IF(C227&lt;Config!$B$2,"Faltan "&amp;D227&amp;" para el llavero","Faltan "&amp;E227&amp;" para la cápsula"))))</f>
        <v/>
      </c>
    </row>
    <row r="228">
      <c r="A228" s="11" t="n"/>
      <c r="B228" s="5">
        <f>IF(A228="","",IFERROR(INDEX(Pedidos!$C$2:$C$501,MATCH(A228,Pedidos!$B$2:$B$501,0)),""))</f>
        <v/>
      </c>
      <c r="C228" s="5">
        <f>IF(A228="","",SUMIFS(Pedidos!$J$2:$J$501,Pedidos!$B$2:$B$501,A228))</f>
        <v/>
      </c>
      <c r="D228" s="5">
        <f>IF(A228="","",MAX(0,Config!$B$2-C228))</f>
        <v/>
      </c>
      <c r="E228" s="5">
        <f>IF(A228="","",MAX(0,Config!$B$3-C228))</f>
        <v/>
      </c>
      <c r="F228" s="5">
        <f>IF(A228="","",IF(COUNTIFS(Pedidos!$B$2:$B$501,A228,Pedidos!$D$2:$D$501,"Canje llavero")&gt;0,"Sí","No"))</f>
        <v/>
      </c>
      <c r="G228" s="5">
        <f>IF(A228="","",IF(COUNTIFS(Pedidos!$B$2:$B$501,A228,Pedidos!$D$2:$D$501,"Canje cápsula")&gt;0,"Sí","No"))</f>
        <v/>
      </c>
      <c r="H228" s="5">
        <f>IF(A228="","",IF(AND(C228&gt;=Config!$B$3,G228="No"),"¡Le toca abrir la cápsula!",IF(AND(C228&gt;=Config!$B$2,F228="No"),"¡Le toca llavero con nombre!",IF(C228&lt;Config!$B$2,"Faltan "&amp;D228&amp;" para el llavero","Faltan "&amp;E228&amp;" para la cápsula"))))</f>
        <v/>
      </c>
    </row>
    <row r="229">
      <c r="A229" s="11" t="n"/>
      <c r="B229" s="5">
        <f>IF(A229="","",IFERROR(INDEX(Pedidos!$C$2:$C$501,MATCH(A229,Pedidos!$B$2:$B$501,0)),""))</f>
        <v/>
      </c>
      <c r="C229" s="5">
        <f>IF(A229="","",SUMIFS(Pedidos!$J$2:$J$501,Pedidos!$B$2:$B$501,A229))</f>
        <v/>
      </c>
      <c r="D229" s="5">
        <f>IF(A229="","",MAX(0,Config!$B$2-C229))</f>
        <v/>
      </c>
      <c r="E229" s="5">
        <f>IF(A229="","",MAX(0,Config!$B$3-C229))</f>
        <v/>
      </c>
      <c r="F229" s="5">
        <f>IF(A229="","",IF(COUNTIFS(Pedidos!$B$2:$B$501,A229,Pedidos!$D$2:$D$501,"Canje llavero")&gt;0,"Sí","No"))</f>
        <v/>
      </c>
      <c r="G229" s="5">
        <f>IF(A229="","",IF(COUNTIFS(Pedidos!$B$2:$B$501,A229,Pedidos!$D$2:$D$501,"Canje cápsula")&gt;0,"Sí","No"))</f>
        <v/>
      </c>
      <c r="H229" s="5">
        <f>IF(A229="","",IF(AND(C229&gt;=Config!$B$3,G229="No"),"¡Le toca abrir la cápsula!",IF(AND(C229&gt;=Config!$B$2,F229="No"),"¡Le toca llavero con nombre!",IF(C229&lt;Config!$B$2,"Faltan "&amp;D229&amp;" para el llavero","Faltan "&amp;E229&amp;" para la cápsula"))))</f>
        <v/>
      </c>
    </row>
    <row r="230">
      <c r="A230" s="11" t="n"/>
      <c r="B230" s="5">
        <f>IF(A230="","",IFERROR(INDEX(Pedidos!$C$2:$C$501,MATCH(A230,Pedidos!$B$2:$B$501,0)),""))</f>
        <v/>
      </c>
      <c r="C230" s="5">
        <f>IF(A230="","",SUMIFS(Pedidos!$J$2:$J$501,Pedidos!$B$2:$B$501,A230))</f>
        <v/>
      </c>
      <c r="D230" s="5">
        <f>IF(A230="","",MAX(0,Config!$B$2-C230))</f>
        <v/>
      </c>
      <c r="E230" s="5">
        <f>IF(A230="","",MAX(0,Config!$B$3-C230))</f>
        <v/>
      </c>
      <c r="F230" s="5">
        <f>IF(A230="","",IF(COUNTIFS(Pedidos!$B$2:$B$501,A230,Pedidos!$D$2:$D$501,"Canje llavero")&gt;0,"Sí","No"))</f>
        <v/>
      </c>
      <c r="G230" s="5">
        <f>IF(A230="","",IF(COUNTIFS(Pedidos!$B$2:$B$501,A230,Pedidos!$D$2:$D$501,"Canje cápsula")&gt;0,"Sí","No"))</f>
        <v/>
      </c>
      <c r="H230" s="5">
        <f>IF(A230="","",IF(AND(C230&gt;=Config!$B$3,G230="No"),"¡Le toca abrir la cápsula!",IF(AND(C230&gt;=Config!$B$2,F230="No"),"¡Le toca llavero con nombre!",IF(C230&lt;Config!$B$2,"Faltan "&amp;D230&amp;" para el llavero","Faltan "&amp;E230&amp;" para la cápsula"))))</f>
        <v/>
      </c>
    </row>
    <row r="231">
      <c r="A231" s="11" t="n"/>
      <c r="B231" s="5">
        <f>IF(A231="","",IFERROR(INDEX(Pedidos!$C$2:$C$501,MATCH(A231,Pedidos!$B$2:$B$501,0)),""))</f>
        <v/>
      </c>
      <c r="C231" s="5">
        <f>IF(A231="","",SUMIFS(Pedidos!$J$2:$J$501,Pedidos!$B$2:$B$501,A231))</f>
        <v/>
      </c>
      <c r="D231" s="5">
        <f>IF(A231="","",MAX(0,Config!$B$2-C231))</f>
        <v/>
      </c>
      <c r="E231" s="5">
        <f>IF(A231="","",MAX(0,Config!$B$3-C231))</f>
        <v/>
      </c>
      <c r="F231" s="5">
        <f>IF(A231="","",IF(COUNTIFS(Pedidos!$B$2:$B$501,A231,Pedidos!$D$2:$D$501,"Canje llavero")&gt;0,"Sí","No"))</f>
        <v/>
      </c>
      <c r="G231" s="5">
        <f>IF(A231="","",IF(COUNTIFS(Pedidos!$B$2:$B$501,A231,Pedidos!$D$2:$D$501,"Canje cápsula")&gt;0,"Sí","No"))</f>
        <v/>
      </c>
      <c r="H231" s="5">
        <f>IF(A231="","",IF(AND(C231&gt;=Config!$B$3,G231="No"),"¡Le toca abrir la cápsula!",IF(AND(C231&gt;=Config!$B$2,F231="No"),"¡Le toca llavero con nombre!",IF(C231&lt;Config!$B$2,"Faltan "&amp;D231&amp;" para el llavero","Faltan "&amp;E231&amp;" para la cápsula"))))</f>
        <v/>
      </c>
    </row>
    <row r="232">
      <c r="A232" s="11" t="n"/>
      <c r="B232" s="5">
        <f>IF(A232="","",IFERROR(INDEX(Pedidos!$C$2:$C$501,MATCH(A232,Pedidos!$B$2:$B$501,0)),""))</f>
        <v/>
      </c>
      <c r="C232" s="5">
        <f>IF(A232="","",SUMIFS(Pedidos!$J$2:$J$501,Pedidos!$B$2:$B$501,A232))</f>
        <v/>
      </c>
      <c r="D232" s="5">
        <f>IF(A232="","",MAX(0,Config!$B$2-C232))</f>
        <v/>
      </c>
      <c r="E232" s="5">
        <f>IF(A232="","",MAX(0,Config!$B$3-C232))</f>
        <v/>
      </c>
      <c r="F232" s="5">
        <f>IF(A232="","",IF(COUNTIFS(Pedidos!$B$2:$B$501,A232,Pedidos!$D$2:$D$501,"Canje llavero")&gt;0,"Sí","No"))</f>
        <v/>
      </c>
      <c r="G232" s="5">
        <f>IF(A232="","",IF(COUNTIFS(Pedidos!$B$2:$B$501,A232,Pedidos!$D$2:$D$501,"Canje cápsula")&gt;0,"Sí","No"))</f>
        <v/>
      </c>
      <c r="H232" s="5">
        <f>IF(A232="","",IF(AND(C232&gt;=Config!$B$3,G232="No"),"¡Le toca abrir la cápsula!",IF(AND(C232&gt;=Config!$B$2,F232="No"),"¡Le toca llavero con nombre!",IF(C232&lt;Config!$B$2,"Faltan "&amp;D232&amp;" para el llavero","Faltan "&amp;E232&amp;" para la cápsula"))))</f>
        <v/>
      </c>
    </row>
    <row r="233">
      <c r="A233" s="11" t="n"/>
      <c r="B233" s="5">
        <f>IF(A233="","",IFERROR(INDEX(Pedidos!$C$2:$C$501,MATCH(A233,Pedidos!$B$2:$B$501,0)),""))</f>
        <v/>
      </c>
      <c r="C233" s="5">
        <f>IF(A233="","",SUMIFS(Pedidos!$J$2:$J$501,Pedidos!$B$2:$B$501,A233))</f>
        <v/>
      </c>
      <c r="D233" s="5">
        <f>IF(A233="","",MAX(0,Config!$B$2-C233))</f>
        <v/>
      </c>
      <c r="E233" s="5">
        <f>IF(A233="","",MAX(0,Config!$B$3-C233))</f>
        <v/>
      </c>
      <c r="F233" s="5">
        <f>IF(A233="","",IF(COUNTIFS(Pedidos!$B$2:$B$501,A233,Pedidos!$D$2:$D$501,"Canje llavero")&gt;0,"Sí","No"))</f>
        <v/>
      </c>
      <c r="G233" s="5">
        <f>IF(A233="","",IF(COUNTIFS(Pedidos!$B$2:$B$501,A233,Pedidos!$D$2:$D$501,"Canje cápsula")&gt;0,"Sí","No"))</f>
        <v/>
      </c>
      <c r="H233" s="5">
        <f>IF(A233="","",IF(AND(C233&gt;=Config!$B$3,G233="No"),"¡Le toca abrir la cápsula!",IF(AND(C233&gt;=Config!$B$2,F233="No"),"¡Le toca llavero con nombre!",IF(C233&lt;Config!$B$2,"Faltan "&amp;D233&amp;" para el llavero","Faltan "&amp;E233&amp;" para la cápsula"))))</f>
        <v/>
      </c>
    </row>
    <row r="234">
      <c r="A234" s="11" t="n"/>
      <c r="B234" s="5">
        <f>IF(A234="","",IFERROR(INDEX(Pedidos!$C$2:$C$501,MATCH(A234,Pedidos!$B$2:$B$501,0)),""))</f>
        <v/>
      </c>
      <c r="C234" s="5">
        <f>IF(A234="","",SUMIFS(Pedidos!$J$2:$J$501,Pedidos!$B$2:$B$501,A234))</f>
        <v/>
      </c>
      <c r="D234" s="5">
        <f>IF(A234="","",MAX(0,Config!$B$2-C234))</f>
        <v/>
      </c>
      <c r="E234" s="5">
        <f>IF(A234="","",MAX(0,Config!$B$3-C234))</f>
        <v/>
      </c>
      <c r="F234" s="5">
        <f>IF(A234="","",IF(COUNTIFS(Pedidos!$B$2:$B$501,A234,Pedidos!$D$2:$D$501,"Canje llavero")&gt;0,"Sí","No"))</f>
        <v/>
      </c>
      <c r="G234" s="5">
        <f>IF(A234="","",IF(COUNTIFS(Pedidos!$B$2:$B$501,A234,Pedidos!$D$2:$D$501,"Canje cápsula")&gt;0,"Sí","No"))</f>
        <v/>
      </c>
      <c r="H234" s="5">
        <f>IF(A234="","",IF(AND(C234&gt;=Config!$B$3,G234="No"),"¡Le toca abrir la cápsula!",IF(AND(C234&gt;=Config!$B$2,F234="No"),"¡Le toca llavero con nombre!",IF(C234&lt;Config!$B$2,"Faltan "&amp;D234&amp;" para el llavero","Faltan "&amp;E234&amp;" para la cápsula"))))</f>
        <v/>
      </c>
    </row>
    <row r="235">
      <c r="A235" s="11" t="n"/>
      <c r="B235" s="5">
        <f>IF(A235="","",IFERROR(INDEX(Pedidos!$C$2:$C$501,MATCH(A235,Pedidos!$B$2:$B$501,0)),""))</f>
        <v/>
      </c>
      <c r="C235" s="5">
        <f>IF(A235="","",SUMIFS(Pedidos!$J$2:$J$501,Pedidos!$B$2:$B$501,A235))</f>
        <v/>
      </c>
      <c r="D235" s="5">
        <f>IF(A235="","",MAX(0,Config!$B$2-C235))</f>
        <v/>
      </c>
      <c r="E235" s="5">
        <f>IF(A235="","",MAX(0,Config!$B$3-C235))</f>
        <v/>
      </c>
      <c r="F235" s="5">
        <f>IF(A235="","",IF(COUNTIFS(Pedidos!$B$2:$B$501,A235,Pedidos!$D$2:$D$501,"Canje llavero")&gt;0,"Sí","No"))</f>
        <v/>
      </c>
      <c r="G235" s="5">
        <f>IF(A235="","",IF(COUNTIFS(Pedidos!$B$2:$B$501,A235,Pedidos!$D$2:$D$501,"Canje cápsula")&gt;0,"Sí","No"))</f>
        <v/>
      </c>
      <c r="H235" s="5">
        <f>IF(A235="","",IF(AND(C235&gt;=Config!$B$3,G235="No"),"¡Le toca abrir la cápsula!",IF(AND(C235&gt;=Config!$B$2,F235="No"),"¡Le toca llavero con nombre!",IF(C235&lt;Config!$B$2,"Faltan "&amp;D235&amp;" para el llavero","Faltan "&amp;E235&amp;" para la cápsula"))))</f>
        <v/>
      </c>
    </row>
    <row r="236">
      <c r="A236" s="11" t="n"/>
      <c r="B236" s="5">
        <f>IF(A236="","",IFERROR(INDEX(Pedidos!$C$2:$C$501,MATCH(A236,Pedidos!$B$2:$B$501,0)),""))</f>
        <v/>
      </c>
      <c r="C236" s="5">
        <f>IF(A236="","",SUMIFS(Pedidos!$J$2:$J$501,Pedidos!$B$2:$B$501,A236))</f>
        <v/>
      </c>
      <c r="D236" s="5">
        <f>IF(A236="","",MAX(0,Config!$B$2-C236))</f>
        <v/>
      </c>
      <c r="E236" s="5">
        <f>IF(A236="","",MAX(0,Config!$B$3-C236))</f>
        <v/>
      </c>
      <c r="F236" s="5">
        <f>IF(A236="","",IF(COUNTIFS(Pedidos!$B$2:$B$501,A236,Pedidos!$D$2:$D$501,"Canje llavero")&gt;0,"Sí","No"))</f>
        <v/>
      </c>
      <c r="G236" s="5">
        <f>IF(A236="","",IF(COUNTIFS(Pedidos!$B$2:$B$501,A236,Pedidos!$D$2:$D$501,"Canje cápsula")&gt;0,"Sí","No"))</f>
        <v/>
      </c>
      <c r="H236" s="5">
        <f>IF(A236="","",IF(AND(C236&gt;=Config!$B$3,G236="No"),"¡Le toca abrir la cápsula!",IF(AND(C236&gt;=Config!$B$2,F236="No"),"¡Le toca llavero con nombre!",IF(C236&lt;Config!$B$2,"Faltan "&amp;D236&amp;" para el llavero","Faltan "&amp;E236&amp;" para la cápsula"))))</f>
        <v/>
      </c>
    </row>
    <row r="237">
      <c r="A237" s="11" t="n"/>
      <c r="B237" s="5">
        <f>IF(A237="","",IFERROR(INDEX(Pedidos!$C$2:$C$501,MATCH(A237,Pedidos!$B$2:$B$501,0)),""))</f>
        <v/>
      </c>
      <c r="C237" s="5">
        <f>IF(A237="","",SUMIFS(Pedidos!$J$2:$J$501,Pedidos!$B$2:$B$501,A237))</f>
        <v/>
      </c>
      <c r="D237" s="5">
        <f>IF(A237="","",MAX(0,Config!$B$2-C237))</f>
        <v/>
      </c>
      <c r="E237" s="5">
        <f>IF(A237="","",MAX(0,Config!$B$3-C237))</f>
        <v/>
      </c>
      <c r="F237" s="5">
        <f>IF(A237="","",IF(COUNTIFS(Pedidos!$B$2:$B$501,A237,Pedidos!$D$2:$D$501,"Canje llavero")&gt;0,"Sí","No"))</f>
        <v/>
      </c>
      <c r="G237" s="5">
        <f>IF(A237="","",IF(COUNTIFS(Pedidos!$B$2:$B$501,A237,Pedidos!$D$2:$D$501,"Canje cápsula")&gt;0,"Sí","No"))</f>
        <v/>
      </c>
      <c r="H237" s="5">
        <f>IF(A237="","",IF(AND(C237&gt;=Config!$B$3,G237="No"),"¡Le toca abrir la cápsula!",IF(AND(C237&gt;=Config!$B$2,F237="No"),"¡Le toca llavero con nombre!",IF(C237&lt;Config!$B$2,"Faltan "&amp;D237&amp;" para el llavero","Faltan "&amp;E237&amp;" para la cápsula"))))</f>
        <v/>
      </c>
    </row>
    <row r="238">
      <c r="A238" s="11" t="n"/>
      <c r="B238" s="5">
        <f>IF(A238="","",IFERROR(INDEX(Pedidos!$C$2:$C$501,MATCH(A238,Pedidos!$B$2:$B$501,0)),""))</f>
        <v/>
      </c>
      <c r="C238" s="5">
        <f>IF(A238="","",SUMIFS(Pedidos!$J$2:$J$501,Pedidos!$B$2:$B$501,A238))</f>
        <v/>
      </c>
      <c r="D238" s="5">
        <f>IF(A238="","",MAX(0,Config!$B$2-C238))</f>
        <v/>
      </c>
      <c r="E238" s="5">
        <f>IF(A238="","",MAX(0,Config!$B$3-C238))</f>
        <v/>
      </c>
      <c r="F238" s="5">
        <f>IF(A238="","",IF(COUNTIFS(Pedidos!$B$2:$B$501,A238,Pedidos!$D$2:$D$501,"Canje llavero")&gt;0,"Sí","No"))</f>
        <v/>
      </c>
      <c r="G238" s="5">
        <f>IF(A238="","",IF(COUNTIFS(Pedidos!$B$2:$B$501,A238,Pedidos!$D$2:$D$501,"Canje cápsula")&gt;0,"Sí","No"))</f>
        <v/>
      </c>
      <c r="H238" s="5">
        <f>IF(A238="","",IF(AND(C238&gt;=Config!$B$3,G238="No"),"¡Le toca abrir la cápsula!",IF(AND(C238&gt;=Config!$B$2,F238="No"),"¡Le toca llavero con nombre!",IF(C238&lt;Config!$B$2,"Faltan "&amp;D238&amp;" para el llavero","Faltan "&amp;E238&amp;" para la cápsula"))))</f>
        <v/>
      </c>
    </row>
    <row r="239">
      <c r="A239" s="11" t="n"/>
      <c r="B239" s="5">
        <f>IF(A239="","",IFERROR(INDEX(Pedidos!$C$2:$C$501,MATCH(A239,Pedidos!$B$2:$B$501,0)),""))</f>
        <v/>
      </c>
      <c r="C239" s="5">
        <f>IF(A239="","",SUMIFS(Pedidos!$J$2:$J$501,Pedidos!$B$2:$B$501,A239))</f>
        <v/>
      </c>
      <c r="D239" s="5">
        <f>IF(A239="","",MAX(0,Config!$B$2-C239))</f>
        <v/>
      </c>
      <c r="E239" s="5">
        <f>IF(A239="","",MAX(0,Config!$B$3-C239))</f>
        <v/>
      </c>
      <c r="F239" s="5">
        <f>IF(A239="","",IF(COUNTIFS(Pedidos!$B$2:$B$501,A239,Pedidos!$D$2:$D$501,"Canje llavero")&gt;0,"Sí","No"))</f>
        <v/>
      </c>
      <c r="G239" s="5">
        <f>IF(A239="","",IF(COUNTIFS(Pedidos!$B$2:$B$501,A239,Pedidos!$D$2:$D$501,"Canje cápsula")&gt;0,"Sí","No"))</f>
        <v/>
      </c>
      <c r="H239" s="5">
        <f>IF(A239="","",IF(AND(C239&gt;=Config!$B$3,G239="No"),"¡Le toca abrir la cápsula!",IF(AND(C239&gt;=Config!$B$2,F239="No"),"¡Le toca llavero con nombre!",IF(C239&lt;Config!$B$2,"Faltan "&amp;D239&amp;" para el llavero","Faltan "&amp;E239&amp;" para la cápsula"))))</f>
        <v/>
      </c>
    </row>
    <row r="240">
      <c r="A240" s="11" t="n"/>
      <c r="B240" s="5">
        <f>IF(A240="","",IFERROR(INDEX(Pedidos!$C$2:$C$501,MATCH(A240,Pedidos!$B$2:$B$501,0)),""))</f>
        <v/>
      </c>
      <c r="C240" s="5">
        <f>IF(A240="","",SUMIFS(Pedidos!$J$2:$J$501,Pedidos!$B$2:$B$501,A240))</f>
        <v/>
      </c>
      <c r="D240" s="5">
        <f>IF(A240="","",MAX(0,Config!$B$2-C240))</f>
        <v/>
      </c>
      <c r="E240" s="5">
        <f>IF(A240="","",MAX(0,Config!$B$3-C240))</f>
        <v/>
      </c>
      <c r="F240" s="5">
        <f>IF(A240="","",IF(COUNTIFS(Pedidos!$B$2:$B$501,A240,Pedidos!$D$2:$D$501,"Canje llavero")&gt;0,"Sí","No"))</f>
        <v/>
      </c>
      <c r="G240" s="5">
        <f>IF(A240="","",IF(COUNTIFS(Pedidos!$B$2:$B$501,A240,Pedidos!$D$2:$D$501,"Canje cápsula")&gt;0,"Sí","No"))</f>
        <v/>
      </c>
      <c r="H240" s="5">
        <f>IF(A240="","",IF(AND(C240&gt;=Config!$B$3,G240="No"),"¡Le toca abrir la cápsula!",IF(AND(C240&gt;=Config!$B$2,F240="No"),"¡Le toca llavero con nombre!",IF(C240&lt;Config!$B$2,"Faltan "&amp;D240&amp;" para el llavero","Faltan "&amp;E240&amp;" para la cápsula"))))</f>
        <v/>
      </c>
    </row>
    <row r="241">
      <c r="A241" s="11" t="n"/>
      <c r="B241" s="5">
        <f>IF(A241="","",IFERROR(INDEX(Pedidos!$C$2:$C$501,MATCH(A241,Pedidos!$B$2:$B$501,0)),""))</f>
        <v/>
      </c>
      <c r="C241" s="5">
        <f>IF(A241="","",SUMIFS(Pedidos!$J$2:$J$501,Pedidos!$B$2:$B$501,A241))</f>
        <v/>
      </c>
      <c r="D241" s="5">
        <f>IF(A241="","",MAX(0,Config!$B$2-C241))</f>
        <v/>
      </c>
      <c r="E241" s="5">
        <f>IF(A241="","",MAX(0,Config!$B$3-C241))</f>
        <v/>
      </c>
      <c r="F241" s="5">
        <f>IF(A241="","",IF(COUNTIFS(Pedidos!$B$2:$B$501,A241,Pedidos!$D$2:$D$501,"Canje llavero")&gt;0,"Sí","No"))</f>
        <v/>
      </c>
      <c r="G241" s="5">
        <f>IF(A241="","",IF(COUNTIFS(Pedidos!$B$2:$B$501,A241,Pedidos!$D$2:$D$501,"Canje cápsula")&gt;0,"Sí","No"))</f>
        <v/>
      </c>
      <c r="H241" s="5">
        <f>IF(A241="","",IF(AND(C241&gt;=Config!$B$3,G241="No"),"¡Le toca abrir la cápsula!",IF(AND(C241&gt;=Config!$B$2,F241="No"),"¡Le toca llavero con nombre!",IF(C241&lt;Config!$B$2,"Faltan "&amp;D241&amp;" para el llavero","Faltan "&amp;E241&amp;" para la cápsula"))))</f>
        <v/>
      </c>
    </row>
    <row r="242">
      <c r="A242" s="11" t="n"/>
      <c r="B242" s="5">
        <f>IF(A242="","",IFERROR(INDEX(Pedidos!$C$2:$C$501,MATCH(A242,Pedidos!$B$2:$B$501,0)),""))</f>
        <v/>
      </c>
      <c r="C242" s="5">
        <f>IF(A242="","",SUMIFS(Pedidos!$J$2:$J$501,Pedidos!$B$2:$B$501,A242))</f>
        <v/>
      </c>
      <c r="D242" s="5">
        <f>IF(A242="","",MAX(0,Config!$B$2-C242))</f>
        <v/>
      </c>
      <c r="E242" s="5">
        <f>IF(A242="","",MAX(0,Config!$B$3-C242))</f>
        <v/>
      </c>
      <c r="F242" s="5">
        <f>IF(A242="","",IF(COUNTIFS(Pedidos!$B$2:$B$501,A242,Pedidos!$D$2:$D$501,"Canje llavero")&gt;0,"Sí","No"))</f>
        <v/>
      </c>
      <c r="G242" s="5">
        <f>IF(A242="","",IF(COUNTIFS(Pedidos!$B$2:$B$501,A242,Pedidos!$D$2:$D$501,"Canje cápsula")&gt;0,"Sí","No"))</f>
        <v/>
      </c>
      <c r="H242" s="5">
        <f>IF(A242="","",IF(AND(C242&gt;=Config!$B$3,G242="No"),"¡Le toca abrir la cápsula!",IF(AND(C242&gt;=Config!$B$2,F242="No"),"¡Le toca llavero con nombre!",IF(C242&lt;Config!$B$2,"Faltan "&amp;D242&amp;" para el llavero","Faltan "&amp;E242&amp;" para la cápsula"))))</f>
        <v/>
      </c>
    </row>
    <row r="243">
      <c r="A243" s="11" t="n"/>
      <c r="B243" s="5">
        <f>IF(A243="","",IFERROR(INDEX(Pedidos!$C$2:$C$501,MATCH(A243,Pedidos!$B$2:$B$501,0)),""))</f>
        <v/>
      </c>
      <c r="C243" s="5">
        <f>IF(A243="","",SUMIFS(Pedidos!$J$2:$J$501,Pedidos!$B$2:$B$501,A243))</f>
        <v/>
      </c>
      <c r="D243" s="5">
        <f>IF(A243="","",MAX(0,Config!$B$2-C243))</f>
        <v/>
      </c>
      <c r="E243" s="5">
        <f>IF(A243="","",MAX(0,Config!$B$3-C243))</f>
        <v/>
      </c>
      <c r="F243" s="5">
        <f>IF(A243="","",IF(COUNTIFS(Pedidos!$B$2:$B$501,A243,Pedidos!$D$2:$D$501,"Canje llavero")&gt;0,"Sí","No"))</f>
        <v/>
      </c>
      <c r="G243" s="5">
        <f>IF(A243="","",IF(COUNTIFS(Pedidos!$B$2:$B$501,A243,Pedidos!$D$2:$D$501,"Canje cápsula")&gt;0,"Sí","No"))</f>
        <v/>
      </c>
      <c r="H243" s="5">
        <f>IF(A243="","",IF(AND(C243&gt;=Config!$B$3,G243="No"),"¡Le toca abrir la cápsula!",IF(AND(C243&gt;=Config!$B$2,F243="No"),"¡Le toca llavero con nombre!",IF(C243&lt;Config!$B$2,"Faltan "&amp;D243&amp;" para el llavero","Faltan "&amp;E243&amp;" para la cápsula"))))</f>
        <v/>
      </c>
    </row>
    <row r="244">
      <c r="A244" s="11" t="n"/>
      <c r="B244" s="5">
        <f>IF(A244="","",IFERROR(INDEX(Pedidos!$C$2:$C$501,MATCH(A244,Pedidos!$B$2:$B$501,0)),""))</f>
        <v/>
      </c>
      <c r="C244" s="5">
        <f>IF(A244="","",SUMIFS(Pedidos!$J$2:$J$501,Pedidos!$B$2:$B$501,A244))</f>
        <v/>
      </c>
      <c r="D244" s="5">
        <f>IF(A244="","",MAX(0,Config!$B$2-C244))</f>
        <v/>
      </c>
      <c r="E244" s="5">
        <f>IF(A244="","",MAX(0,Config!$B$3-C244))</f>
        <v/>
      </c>
      <c r="F244" s="5">
        <f>IF(A244="","",IF(COUNTIFS(Pedidos!$B$2:$B$501,A244,Pedidos!$D$2:$D$501,"Canje llavero")&gt;0,"Sí","No"))</f>
        <v/>
      </c>
      <c r="G244" s="5">
        <f>IF(A244="","",IF(COUNTIFS(Pedidos!$B$2:$B$501,A244,Pedidos!$D$2:$D$501,"Canje cápsula")&gt;0,"Sí","No"))</f>
        <v/>
      </c>
      <c r="H244" s="5">
        <f>IF(A244="","",IF(AND(C244&gt;=Config!$B$3,G244="No"),"¡Le toca abrir la cápsula!",IF(AND(C244&gt;=Config!$B$2,F244="No"),"¡Le toca llavero con nombre!",IF(C244&lt;Config!$B$2,"Faltan "&amp;D244&amp;" para el llavero","Faltan "&amp;E244&amp;" para la cápsula"))))</f>
        <v/>
      </c>
    </row>
    <row r="245">
      <c r="A245" s="11" t="n"/>
      <c r="B245" s="5">
        <f>IF(A245="","",IFERROR(INDEX(Pedidos!$C$2:$C$501,MATCH(A245,Pedidos!$B$2:$B$501,0)),""))</f>
        <v/>
      </c>
      <c r="C245" s="5">
        <f>IF(A245="","",SUMIFS(Pedidos!$J$2:$J$501,Pedidos!$B$2:$B$501,A245))</f>
        <v/>
      </c>
      <c r="D245" s="5">
        <f>IF(A245="","",MAX(0,Config!$B$2-C245))</f>
        <v/>
      </c>
      <c r="E245" s="5">
        <f>IF(A245="","",MAX(0,Config!$B$3-C245))</f>
        <v/>
      </c>
      <c r="F245" s="5">
        <f>IF(A245="","",IF(COUNTIFS(Pedidos!$B$2:$B$501,A245,Pedidos!$D$2:$D$501,"Canje llavero")&gt;0,"Sí","No"))</f>
        <v/>
      </c>
      <c r="G245" s="5">
        <f>IF(A245="","",IF(COUNTIFS(Pedidos!$B$2:$B$501,A245,Pedidos!$D$2:$D$501,"Canje cápsula")&gt;0,"Sí","No"))</f>
        <v/>
      </c>
      <c r="H245" s="5">
        <f>IF(A245="","",IF(AND(C245&gt;=Config!$B$3,G245="No"),"¡Le toca abrir la cápsula!",IF(AND(C245&gt;=Config!$B$2,F245="No"),"¡Le toca llavero con nombre!",IF(C245&lt;Config!$B$2,"Faltan "&amp;D245&amp;" para el llavero","Faltan "&amp;E245&amp;" para la cápsula"))))</f>
        <v/>
      </c>
    </row>
    <row r="246">
      <c r="A246" s="11" t="n"/>
      <c r="B246" s="5">
        <f>IF(A246="","",IFERROR(INDEX(Pedidos!$C$2:$C$501,MATCH(A246,Pedidos!$B$2:$B$501,0)),""))</f>
        <v/>
      </c>
      <c r="C246" s="5">
        <f>IF(A246="","",SUMIFS(Pedidos!$J$2:$J$501,Pedidos!$B$2:$B$501,A246))</f>
        <v/>
      </c>
      <c r="D246" s="5">
        <f>IF(A246="","",MAX(0,Config!$B$2-C246))</f>
        <v/>
      </c>
      <c r="E246" s="5">
        <f>IF(A246="","",MAX(0,Config!$B$3-C246))</f>
        <v/>
      </c>
      <c r="F246" s="5">
        <f>IF(A246="","",IF(COUNTIFS(Pedidos!$B$2:$B$501,A246,Pedidos!$D$2:$D$501,"Canje llavero")&gt;0,"Sí","No"))</f>
        <v/>
      </c>
      <c r="G246" s="5">
        <f>IF(A246="","",IF(COUNTIFS(Pedidos!$B$2:$B$501,A246,Pedidos!$D$2:$D$501,"Canje cápsula")&gt;0,"Sí","No"))</f>
        <v/>
      </c>
      <c r="H246" s="5">
        <f>IF(A246="","",IF(AND(C246&gt;=Config!$B$3,G246="No"),"¡Le toca abrir la cápsula!",IF(AND(C246&gt;=Config!$B$2,F246="No"),"¡Le toca llavero con nombre!",IF(C246&lt;Config!$B$2,"Faltan "&amp;D246&amp;" para el llavero","Faltan "&amp;E246&amp;" para la cápsula"))))</f>
        <v/>
      </c>
    </row>
    <row r="247">
      <c r="A247" s="11" t="n"/>
      <c r="B247" s="5">
        <f>IF(A247="","",IFERROR(INDEX(Pedidos!$C$2:$C$501,MATCH(A247,Pedidos!$B$2:$B$501,0)),""))</f>
        <v/>
      </c>
      <c r="C247" s="5">
        <f>IF(A247="","",SUMIFS(Pedidos!$J$2:$J$501,Pedidos!$B$2:$B$501,A247))</f>
        <v/>
      </c>
      <c r="D247" s="5">
        <f>IF(A247="","",MAX(0,Config!$B$2-C247))</f>
        <v/>
      </c>
      <c r="E247" s="5">
        <f>IF(A247="","",MAX(0,Config!$B$3-C247))</f>
        <v/>
      </c>
      <c r="F247" s="5">
        <f>IF(A247="","",IF(COUNTIFS(Pedidos!$B$2:$B$501,A247,Pedidos!$D$2:$D$501,"Canje llavero")&gt;0,"Sí","No"))</f>
        <v/>
      </c>
      <c r="G247" s="5">
        <f>IF(A247="","",IF(COUNTIFS(Pedidos!$B$2:$B$501,A247,Pedidos!$D$2:$D$501,"Canje cápsula")&gt;0,"Sí","No"))</f>
        <v/>
      </c>
      <c r="H247" s="5">
        <f>IF(A247="","",IF(AND(C247&gt;=Config!$B$3,G247="No"),"¡Le toca abrir la cápsula!",IF(AND(C247&gt;=Config!$B$2,F247="No"),"¡Le toca llavero con nombre!",IF(C247&lt;Config!$B$2,"Faltan "&amp;D247&amp;" para el llavero","Faltan "&amp;E247&amp;" para la cápsula"))))</f>
        <v/>
      </c>
    </row>
    <row r="248">
      <c r="A248" s="11" t="n"/>
      <c r="B248" s="5">
        <f>IF(A248="","",IFERROR(INDEX(Pedidos!$C$2:$C$501,MATCH(A248,Pedidos!$B$2:$B$501,0)),""))</f>
        <v/>
      </c>
      <c r="C248" s="5">
        <f>IF(A248="","",SUMIFS(Pedidos!$J$2:$J$501,Pedidos!$B$2:$B$501,A248))</f>
        <v/>
      </c>
      <c r="D248" s="5">
        <f>IF(A248="","",MAX(0,Config!$B$2-C248))</f>
        <v/>
      </c>
      <c r="E248" s="5">
        <f>IF(A248="","",MAX(0,Config!$B$3-C248))</f>
        <v/>
      </c>
      <c r="F248" s="5">
        <f>IF(A248="","",IF(COUNTIFS(Pedidos!$B$2:$B$501,A248,Pedidos!$D$2:$D$501,"Canje llavero")&gt;0,"Sí","No"))</f>
        <v/>
      </c>
      <c r="G248" s="5">
        <f>IF(A248="","",IF(COUNTIFS(Pedidos!$B$2:$B$501,A248,Pedidos!$D$2:$D$501,"Canje cápsula")&gt;0,"Sí","No"))</f>
        <v/>
      </c>
      <c r="H248" s="5">
        <f>IF(A248="","",IF(AND(C248&gt;=Config!$B$3,G248="No"),"¡Le toca abrir la cápsula!",IF(AND(C248&gt;=Config!$B$2,F248="No"),"¡Le toca llavero con nombre!",IF(C248&lt;Config!$B$2,"Faltan "&amp;D248&amp;" para el llavero","Faltan "&amp;E248&amp;" para la cápsula"))))</f>
        <v/>
      </c>
    </row>
    <row r="249">
      <c r="A249" s="11" t="n"/>
      <c r="B249" s="5">
        <f>IF(A249="","",IFERROR(INDEX(Pedidos!$C$2:$C$501,MATCH(A249,Pedidos!$B$2:$B$501,0)),""))</f>
        <v/>
      </c>
      <c r="C249" s="5">
        <f>IF(A249="","",SUMIFS(Pedidos!$J$2:$J$501,Pedidos!$B$2:$B$501,A249))</f>
        <v/>
      </c>
      <c r="D249" s="5">
        <f>IF(A249="","",MAX(0,Config!$B$2-C249))</f>
        <v/>
      </c>
      <c r="E249" s="5">
        <f>IF(A249="","",MAX(0,Config!$B$3-C249))</f>
        <v/>
      </c>
      <c r="F249" s="5">
        <f>IF(A249="","",IF(COUNTIFS(Pedidos!$B$2:$B$501,A249,Pedidos!$D$2:$D$501,"Canje llavero")&gt;0,"Sí","No"))</f>
        <v/>
      </c>
      <c r="G249" s="5">
        <f>IF(A249="","",IF(COUNTIFS(Pedidos!$B$2:$B$501,A249,Pedidos!$D$2:$D$501,"Canje cápsula")&gt;0,"Sí","No"))</f>
        <v/>
      </c>
      <c r="H249" s="5">
        <f>IF(A249="","",IF(AND(C249&gt;=Config!$B$3,G249="No"),"¡Le toca abrir la cápsula!",IF(AND(C249&gt;=Config!$B$2,F249="No"),"¡Le toca llavero con nombre!",IF(C249&lt;Config!$B$2,"Faltan "&amp;D249&amp;" para el llavero","Faltan "&amp;E249&amp;" para la cápsula"))))</f>
        <v/>
      </c>
    </row>
    <row r="250">
      <c r="A250" s="11" t="n"/>
      <c r="B250" s="5">
        <f>IF(A250="","",IFERROR(INDEX(Pedidos!$C$2:$C$501,MATCH(A250,Pedidos!$B$2:$B$501,0)),""))</f>
        <v/>
      </c>
      <c r="C250" s="5">
        <f>IF(A250="","",SUMIFS(Pedidos!$J$2:$J$501,Pedidos!$B$2:$B$501,A250))</f>
        <v/>
      </c>
      <c r="D250" s="5">
        <f>IF(A250="","",MAX(0,Config!$B$2-C250))</f>
        <v/>
      </c>
      <c r="E250" s="5">
        <f>IF(A250="","",MAX(0,Config!$B$3-C250))</f>
        <v/>
      </c>
      <c r="F250" s="5">
        <f>IF(A250="","",IF(COUNTIFS(Pedidos!$B$2:$B$501,A250,Pedidos!$D$2:$D$501,"Canje llavero")&gt;0,"Sí","No"))</f>
        <v/>
      </c>
      <c r="G250" s="5">
        <f>IF(A250="","",IF(COUNTIFS(Pedidos!$B$2:$B$501,A250,Pedidos!$D$2:$D$501,"Canje cápsula")&gt;0,"Sí","No"))</f>
        <v/>
      </c>
      <c r="H250" s="5">
        <f>IF(A250="","",IF(AND(C250&gt;=Config!$B$3,G250="No"),"¡Le toca abrir la cápsula!",IF(AND(C250&gt;=Config!$B$2,F250="No"),"¡Le toca llavero con nombre!",IF(C250&lt;Config!$B$2,"Faltan "&amp;D250&amp;" para el llavero","Faltan "&amp;E250&amp;" para la cápsula"))))</f>
        <v/>
      </c>
    </row>
    <row r="251">
      <c r="A251" s="11" t="n"/>
      <c r="B251" s="5">
        <f>IF(A251="","",IFERROR(INDEX(Pedidos!$C$2:$C$501,MATCH(A251,Pedidos!$B$2:$B$501,0)),""))</f>
        <v/>
      </c>
      <c r="C251" s="5">
        <f>IF(A251="","",SUMIFS(Pedidos!$J$2:$J$501,Pedidos!$B$2:$B$501,A251))</f>
        <v/>
      </c>
      <c r="D251" s="5">
        <f>IF(A251="","",MAX(0,Config!$B$2-C251))</f>
        <v/>
      </c>
      <c r="E251" s="5">
        <f>IF(A251="","",MAX(0,Config!$B$3-C251))</f>
        <v/>
      </c>
      <c r="F251" s="5">
        <f>IF(A251="","",IF(COUNTIFS(Pedidos!$B$2:$B$501,A251,Pedidos!$D$2:$D$501,"Canje llavero")&gt;0,"Sí","No"))</f>
        <v/>
      </c>
      <c r="G251" s="5">
        <f>IF(A251="","",IF(COUNTIFS(Pedidos!$B$2:$B$501,A251,Pedidos!$D$2:$D$501,"Canje cápsula")&gt;0,"Sí","No"))</f>
        <v/>
      </c>
      <c r="H251" s="5">
        <f>IF(A251="","",IF(AND(C251&gt;=Config!$B$3,G251="No"),"¡Le toca abrir la cápsula!",IF(AND(C251&gt;=Config!$B$2,F251="No"),"¡Le toca llavero con nombre!",IF(C251&lt;Config!$B$2,"Faltan "&amp;D251&amp;" para el llavero","Faltan "&amp;E251&amp;" para la cápsula"))))</f>
        <v/>
      </c>
    </row>
    <row r="252">
      <c r="A252" s="11" t="n"/>
      <c r="B252" s="5">
        <f>IF(A252="","",IFERROR(INDEX(Pedidos!$C$2:$C$501,MATCH(A252,Pedidos!$B$2:$B$501,0)),""))</f>
        <v/>
      </c>
      <c r="C252" s="5">
        <f>IF(A252="","",SUMIFS(Pedidos!$J$2:$J$501,Pedidos!$B$2:$B$501,A252))</f>
        <v/>
      </c>
      <c r="D252" s="5">
        <f>IF(A252="","",MAX(0,Config!$B$2-C252))</f>
        <v/>
      </c>
      <c r="E252" s="5">
        <f>IF(A252="","",MAX(0,Config!$B$3-C252))</f>
        <v/>
      </c>
      <c r="F252" s="5">
        <f>IF(A252="","",IF(COUNTIFS(Pedidos!$B$2:$B$501,A252,Pedidos!$D$2:$D$501,"Canje llavero")&gt;0,"Sí","No"))</f>
        <v/>
      </c>
      <c r="G252" s="5">
        <f>IF(A252="","",IF(COUNTIFS(Pedidos!$B$2:$B$501,A252,Pedidos!$D$2:$D$501,"Canje cápsula")&gt;0,"Sí","No"))</f>
        <v/>
      </c>
      <c r="H252" s="5">
        <f>IF(A252="","",IF(AND(C252&gt;=Config!$B$3,G252="No"),"¡Le toca abrir la cápsula!",IF(AND(C252&gt;=Config!$B$2,F252="No"),"¡Le toca llavero con nombre!",IF(C252&lt;Config!$B$2,"Faltan "&amp;D252&amp;" para el llavero","Faltan "&amp;E252&amp;" para la cápsula"))))</f>
        <v/>
      </c>
    </row>
    <row r="253">
      <c r="A253" s="11" t="n"/>
      <c r="B253" s="5">
        <f>IF(A253="","",IFERROR(INDEX(Pedidos!$C$2:$C$501,MATCH(A253,Pedidos!$B$2:$B$501,0)),""))</f>
        <v/>
      </c>
      <c r="C253" s="5">
        <f>IF(A253="","",SUMIFS(Pedidos!$J$2:$J$501,Pedidos!$B$2:$B$501,A253))</f>
        <v/>
      </c>
      <c r="D253" s="5">
        <f>IF(A253="","",MAX(0,Config!$B$2-C253))</f>
        <v/>
      </c>
      <c r="E253" s="5">
        <f>IF(A253="","",MAX(0,Config!$B$3-C253))</f>
        <v/>
      </c>
      <c r="F253" s="5">
        <f>IF(A253="","",IF(COUNTIFS(Pedidos!$B$2:$B$501,A253,Pedidos!$D$2:$D$501,"Canje llavero")&gt;0,"Sí","No"))</f>
        <v/>
      </c>
      <c r="G253" s="5">
        <f>IF(A253="","",IF(COUNTIFS(Pedidos!$B$2:$B$501,A253,Pedidos!$D$2:$D$501,"Canje cápsula")&gt;0,"Sí","No"))</f>
        <v/>
      </c>
      <c r="H253" s="5">
        <f>IF(A253="","",IF(AND(C253&gt;=Config!$B$3,G253="No"),"¡Le toca abrir la cápsula!",IF(AND(C253&gt;=Config!$B$2,F253="No"),"¡Le toca llavero con nombre!",IF(C253&lt;Config!$B$2,"Faltan "&amp;D253&amp;" para el llavero","Faltan "&amp;E253&amp;" para la cápsula"))))</f>
        <v/>
      </c>
    </row>
    <row r="254">
      <c r="A254" s="11" t="n"/>
      <c r="B254" s="5">
        <f>IF(A254="","",IFERROR(INDEX(Pedidos!$C$2:$C$501,MATCH(A254,Pedidos!$B$2:$B$501,0)),""))</f>
        <v/>
      </c>
      <c r="C254" s="5">
        <f>IF(A254="","",SUMIFS(Pedidos!$J$2:$J$501,Pedidos!$B$2:$B$501,A254))</f>
        <v/>
      </c>
      <c r="D254" s="5">
        <f>IF(A254="","",MAX(0,Config!$B$2-C254))</f>
        <v/>
      </c>
      <c r="E254" s="5">
        <f>IF(A254="","",MAX(0,Config!$B$3-C254))</f>
        <v/>
      </c>
      <c r="F254" s="5">
        <f>IF(A254="","",IF(COUNTIFS(Pedidos!$B$2:$B$501,A254,Pedidos!$D$2:$D$501,"Canje llavero")&gt;0,"Sí","No"))</f>
        <v/>
      </c>
      <c r="G254" s="5">
        <f>IF(A254="","",IF(COUNTIFS(Pedidos!$B$2:$B$501,A254,Pedidos!$D$2:$D$501,"Canje cápsula")&gt;0,"Sí","No"))</f>
        <v/>
      </c>
      <c r="H254" s="5">
        <f>IF(A254="","",IF(AND(C254&gt;=Config!$B$3,G254="No"),"¡Le toca abrir la cápsula!",IF(AND(C254&gt;=Config!$B$2,F254="No"),"¡Le toca llavero con nombre!",IF(C254&lt;Config!$B$2,"Faltan "&amp;D254&amp;" para el llavero","Faltan "&amp;E254&amp;" para la cápsula"))))</f>
        <v/>
      </c>
    </row>
    <row r="255">
      <c r="A255" s="11" t="n"/>
      <c r="B255" s="5">
        <f>IF(A255="","",IFERROR(INDEX(Pedidos!$C$2:$C$501,MATCH(A255,Pedidos!$B$2:$B$501,0)),""))</f>
        <v/>
      </c>
      <c r="C255" s="5">
        <f>IF(A255="","",SUMIFS(Pedidos!$J$2:$J$501,Pedidos!$B$2:$B$501,A255))</f>
        <v/>
      </c>
      <c r="D255" s="5">
        <f>IF(A255="","",MAX(0,Config!$B$2-C255))</f>
        <v/>
      </c>
      <c r="E255" s="5">
        <f>IF(A255="","",MAX(0,Config!$B$3-C255))</f>
        <v/>
      </c>
      <c r="F255" s="5">
        <f>IF(A255="","",IF(COUNTIFS(Pedidos!$B$2:$B$501,A255,Pedidos!$D$2:$D$501,"Canje llavero")&gt;0,"Sí","No"))</f>
        <v/>
      </c>
      <c r="G255" s="5">
        <f>IF(A255="","",IF(COUNTIFS(Pedidos!$B$2:$B$501,A255,Pedidos!$D$2:$D$501,"Canje cápsula")&gt;0,"Sí","No"))</f>
        <v/>
      </c>
      <c r="H255" s="5">
        <f>IF(A255="","",IF(AND(C255&gt;=Config!$B$3,G255="No"),"¡Le toca abrir la cápsula!",IF(AND(C255&gt;=Config!$B$2,F255="No"),"¡Le toca llavero con nombre!",IF(C255&lt;Config!$B$2,"Faltan "&amp;D255&amp;" para el llavero","Faltan "&amp;E255&amp;" para la cápsula"))))</f>
        <v/>
      </c>
    </row>
    <row r="256">
      <c r="A256" s="11" t="n"/>
      <c r="B256" s="5">
        <f>IF(A256="","",IFERROR(INDEX(Pedidos!$C$2:$C$501,MATCH(A256,Pedidos!$B$2:$B$501,0)),""))</f>
        <v/>
      </c>
      <c r="C256" s="5">
        <f>IF(A256="","",SUMIFS(Pedidos!$J$2:$J$501,Pedidos!$B$2:$B$501,A256))</f>
        <v/>
      </c>
      <c r="D256" s="5">
        <f>IF(A256="","",MAX(0,Config!$B$2-C256))</f>
        <v/>
      </c>
      <c r="E256" s="5">
        <f>IF(A256="","",MAX(0,Config!$B$3-C256))</f>
        <v/>
      </c>
      <c r="F256" s="5">
        <f>IF(A256="","",IF(COUNTIFS(Pedidos!$B$2:$B$501,A256,Pedidos!$D$2:$D$501,"Canje llavero")&gt;0,"Sí","No"))</f>
        <v/>
      </c>
      <c r="G256" s="5">
        <f>IF(A256="","",IF(COUNTIFS(Pedidos!$B$2:$B$501,A256,Pedidos!$D$2:$D$501,"Canje cápsula")&gt;0,"Sí","No"))</f>
        <v/>
      </c>
      <c r="H256" s="5">
        <f>IF(A256="","",IF(AND(C256&gt;=Config!$B$3,G256="No"),"¡Le toca abrir la cápsula!",IF(AND(C256&gt;=Config!$B$2,F256="No"),"¡Le toca llavero con nombre!",IF(C256&lt;Config!$B$2,"Faltan "&amp;D256&amp;" para el llavero","Faltan "&amp;E256&amp;" para la cápsula"))))</f>
        <v/>
      </c>
    </row>
    <row r="257">
      <c r="A257" s="11" t="n"/>
      <c r="B257" s="5">
        <f>IF(A257="","",IFERROR(INDEX(Pedidos!$C$2:$C$501,MATCH(A257,Pedidos!$B$2:$B$501,0)),""))</f>
        <v/>
      </c>
      <c r="C257" s="5">
        <f>IF(A257="","",SUMIFS(Pedidos!$J$2:$J$501,Pedidos!$B$2:$B$501,A257))</f>
        <v/>
      </c>
      <c r="D257" s="5">
        <f>IF(A257="","",MAX(0,Config!$B$2-C257))</f>
        <v/>
      </c>
      <c r="E257" s="5">
        <f>IF(A257="","",MAX(0,Config!$B$3-C257))</f>
        <v/>
      </c>
      <c r="F257" s="5">
        <f>IF(A257="","",IF(COUNTIFS(Pedidos!$B$2:$B$501,A257,Pedidos!$D$2:$D$501,"Canje llavero")&gt;0,"Sí","No"))</f>
        <v/>
      </c>
      <c r="G257" s="5">
        <f>IF(A257="","",IF(COUNTIFS(Pedidos!$B$2:$B$501,A257,Pedidos!$D$2:$D$501,"Canje cápsula")&gt;0,"Sí","No"))</f>
        <v/>
      </c>
      <c r="H257" s="5">
        <f>IF(A257="","",IF(AND(C257&gt;=Config!$B$3,G257="No"),"¡Le toca abrir la cápsula!",IF(AND(C257&gt;=Config!$B$2,F257="No"),"¡Le toca llavero con nombre!",IF(C257&lt;Config!$B$2,"Faltan "&amp;D257&amp;" para el llavero","Faltan "&amp;E257&amp;" para la cápsula"))))</f>
        <v/>
      </c>
    </row>
    <row r="258">
      <c r="A258" s="11" t="n"/>
      <c r="B258" s="5">
        <f>IF(A258="","",IFERROR(INDEX(Pedidos!$C$2:$C$501,MATCH(A258,Pedidos!$B$2:$B$501,0)),""))</f>
        <v/>
      </c>
      <c r="C258" s="5">
        <f>IF(A258="","",SUMIFS(Pedidos!$J$2:$J$501,Pedidos!$B$2:$B$501,A258))</f>
        <v/>
      </c>
      <c r="D258" s="5">
        <f>IF(A258="","",MAX(0,Config!$B$2-C258))</f>
        <v/>
      </c>
      <c r="E258" s="5">
        <f>IF(A258="","",MAX(0,Config!$B$3-C258))</f>
        <v/>
      </c>
      <c r="F258" s="5">
        <f>IF(A258="","",IF(COUNTIFS(Pedidos!$B$2:$B$501,A258,Pedidos!$D$2:$D$501,"Canje llavero")&gt;0,"Sí","No"))</f>
        <v/>
      </c>
      <c r="G258" s="5">
        <f>IF(A258="","",IF(COUNTIFS(Pedidos!$B$2:$B$501,A258,Pedidos!$D$2:$D$501,"Canje cápsula")&gt;0,"Sí","No"))</f>
        <v/>
      </c>
      <c r="H258" s="5">
        <f>IF(A258="","",IF(AND(C258&gt;=Config!$B$3,G258="No"),"¡Le toca abrir la cápsula!",IF(AND(C258&gt;=Config!$B$2,F258="No"),"¡Le toca llavero con nombre!",IF(C258&lt;Config!$B$2,"Faltan "&amp;D258&amp;" para el llavero","Faltan "&amp;E258&amp;" para la cápsula"))))</f>
        <v/>
      </c>
    </row>
    <row r="259">
      <c r="A259" s="11" t="n"/>
      <c r="B259" s="5">
        <f>IF(A259="","",IFERROR(INDEX(Pedidos!$C$2:$C$501,MATCH(A259,Pedidos!$B$2:$B$501,0)),""))</f>
        <v/>
      </c>
      <c r="C259" s="5">
        <f>IF(A259="","",SUMIFS(Pedidos!$J$2:$J$501,Pedidos!$B$2:$B$501,A259))</f>
        <v/>
      </c>
      <c r="D259" s="5">
        <f>IF(A259="","",MAX(0,Config!$B$2-C259))</f>
        <v/>
      </c>
      <c r="E259" s="5">
        <f>IF(A259="","",MAX(0,Config!$B$3-C259))</f>
        <v/>
      </c>
      <c r="F259" s="5">
        <f>IF(A259="","",IF(COUNTIFS(Pedidos!$B$2:$B$501,A259,Pedidos!$D$2:$D$501,"Canje llavero")&gt;0,"Sí","No"))</f>
        <v/>
      </c>
      <c r="G259" s="5">
        <f>IF(A259="","",IF(COUNTIFS(Pedidos!$B$2:$B$501,A259,Pedidos!$D$2:$D$501,"Canje cápsula")&gt;0,"Sí","No"))</f>
        <v/>
      </c>
      <c r="H259" s="5">
        <f>IF(A259="","",IF(AND(C259&gt;=Config!$B$3,G259="No"),"¡Le toca abrir la cápsula!",IF(AND(C259&gt;=Config!$B$2,F259="No"),"¡Le toca llavero con nombre!",IF(C259&lt;Config!$B$2,"Faltan "&amp;D259&amp;" para el llavero","Faltan "&amp;E259&amp;" para la cápsula"))))</f>
        <v/>
      </c>
    </row>
    <row r="260">
      <c r="A260" s="11" t="n"/>
      <c r="B260" s="5">
        <f>IF(A260="","",IFERROR(INDEX(Pedidos!$C$2:$C$501,MATCH(A260,Pedidos!$B$2:$B$501,0)),""))</f>
        <v/>
      </c>
      <c r="C260" s="5">
        <f>IF(A260="","",SUMIFS(Pedidos!$J$2:$J$501,Pedidos!$B$2:$B$501,A260))</f>
        <v/>
      </c>
      <c r="D260" s="5">
        <f>IF(A260="","",MAX(0,Config!$B$2-C260))</f>
        <v/>
      </c>
      <c r="E260" s="5">
        <f>IF(A260="","",MAX(0,Config!$B$3-C260))</f>
        <v/>
      </c>
      <c r="F260" s="5">
        <f>IF(A260="","",IF(COUNTIFS(Pedidos!$B$2:$B$501,A260,Pedidos!$D$2:$D$501,"Canje llavero")&gt;0,"Sí","No"))</f>
        <v/>
      </c>
      <c r="G260" s="5">
        <f>IF(A260="","",IF(COUNTIFS(Pedidos!$B$2:$B$501,A260,Pedidos!$D$2:$D$501,"Canje cápsula")&gt;0,"Sí","No"))</f>
        <v/>
      </c>
      <c r="H260" s="5">
        <f>IF(A260="","",IF(AND(C260&gt;=Config!$B$3,G260="No"),"¡Le toca abrir la cápsula!",IF(AND(C260&gt;=Config!$B$2,F260="No"),"¡Le toca llavero con nombre!",IF(C260&lt;Config!$B$2,"Faltan "&amp;D260&amp;" para el llavero","Faltan "&amp;E260&amp;" para la cápsula"))))</f>
        <v/>
      </c>
    </row>
    <row r="261">
      <c r="A261" s="11" t="n"/>
      <c r="B261" s="5">
        <f>IF(A261="","",IFERROR(INDEX(Pedidos!$C$2:$C$501,MATCH(A261,Pedidos!$B$2:$B$501,0)),""))</f>
        <v/>
      </c>
      <c r="C261" s="5">
        <f>IF(A261="","",SUMIFS(Pedidos!$J$2:$J$501,Pedidos!$B$2:$B$501,A261))</f>
        <v/>
      </c>
      <c r="D261" s="5">
        <f>IF(A261="","",MAX(0,Config!$B$2-C261))</f>
        <v/>
      </c>
      <c r="E261" s="5">
        <f>IF(A261="","",MAX(0,Config!$B$3-C261))</f>
        <v/>
      </c>
      <c r="F261" s="5">
        <f>IF(A261="","",IF(COUNTIFS(Pedidos!$B$2:$B$501,A261,Pedidos!$D$2:$D$501,"Canje llavero")&gt;0,"Sí","No"))</f>
        <v/>
      </c>
      <c r="G261" s="5">
        <f>IF(A261="","",IF(COUNTIFS(Pedidos!$B$2:$B$501,A261,Pedidos!$D$2:$D$501,"Canje cápsula")&gt;0,"Sí","No"))</f>
        <v/>
      </c>
      <c r="H261" s="5">
        <f>IF(A261="","",IF(AND(C261&gt;=Config!$B$3,G261="No"),"¡Le toca abrir la cápsula!",IF(AND(C261&gt;=Config!$B$2,F261="No"),"¡Le toca llavero con nombre!",IF(C261&lt;Config!$B$2,"Faltan "&amp;D261&amp;" para el llavero","Faltan "&amp;E261&amp;" para la cápsula"))))</f>
        <v/>
      </c>
    </row>
    <row r="262">
      <c r="A262" s="11" t="n"/>
      <c r="B262" s="5">
        <f>IF(A262="","",IFERROR(INDEX(Pedidos!$C$2:$C$501,MATCH(A262,Pedidos!$B$2:$B$501,0)),""))</f>
        <v/>
      </c>
      <c r="C262" s="5">
        <f>IF(A262="","",SUMIFS(Pedidos!$J$2:$J$501,Pedidos!$B$2:$B$501,A262))</f>
        <v/>
      </c>
      <c r="D262" s="5">
        <f>IF(A262="","",MAX(0,Config!$B$2-C262))</f>
        <v/>
      </c>
      <c r="E262" s="5">
        <f>IF(A262="","",MAX(0,Config!$B$3-C262))</f>
        <v/>
      </c>
      <c r="F262" s="5">
        <f>IF(A262="","",IF(COUNTIFS(Pedidos!$B$2:$B$501,A262,Pedidos!$D$2:$D$501,"Canje llavero")&gt;0,"Sí","No"))</f>
        <v/>
      </c>
      <c r="G262" s="5">
        <f>IF(A262="","",IF(COUNTIFS(Pedidos!$B$2:$B$501,A262,Pedidos!$D$2:$D$501,"Canje cápsula")&gt;0,"Sí","No"))</f>
        <v/>
      </c>
      <c r="H262" s="5">
        <f>IF(A262="","",IF(AND(C262&gt;=Config!$B$3,G262="No"),"¡Le toca abrir la cápsula!",IF(AND(C262&gt;=Config!$B$2,F262="No"),"¡Le toca llavero con nombre!",IF(C262&lt;Config!$B$2,"Faltan "&amp;D262&amp;" para el llavero","Faltan "&amp;E262&amp;" para la cápsula"))))</f>
        <v/>
      </c>
    </row>
    <row r="263">
      <c r="A263" s="11" t="n"/>
      <c r="B263" s="5">
        <f>IF(A263="","",IFERROR(INDEX(Pedidos!$C$2:$C$501,MATCH(A263,Pedidos!$B$2:$B$501,0)),""))</f>
        <v/>
      </c>
      <c r="C263" s="5">
        <f>IF(A263="","",SUMIFS(Pedidos!$J$2:$J$501,Pedidos!$B$2:$B$501,A263))</f>
        <v/>
      </c>
      <c r="D263" s="5">
        <f>IF(A263="","",MAX(0,Config!$B$2-C263))</f>
        <v/>
      </c>
      <c r="E263" s="5">
        <f>IF(A263="","",MAX(0,Config!$B$3-C263))</f>
        <v/>
      </c>
      <c r="F263" s="5">
        <f>IF(A263="","",IF(COUNTIFS(Pedidos!$B$2:$B$501,A263,Pedidos!$D$2:$D$501,"Canje llavero")&gt;0,"Sí","No"))</f>
        <v/>
      </c>
      <c r="G263" s="5">
        <f>IF(A263="","",IF(COUNTIFS(Pedidos!$B$2:$B$501,A263,Pedidos!$D$2:$D$501,"Canje cápsula")&gt;0,"Sí","No"))</f>
        <v/>
      </c>
      <c r="H263" s="5">
        <f>IF(A263="","",IF(AND(C263&gt;=Config!$B$3,G263="No"),"¡Le toca abrir la cápsula!",IF(AND(C263&gt;=Config!$B$2,F263="No"),"¡Le toca llavero con nombre!",IF(C263&lt;Config!$B$2,"Faltan "&amp;D263&amp;" para el llavero","Faltan "&amp;E263&amp;" para la cápsula"))))</f>
        <v/>
      </c>
    </row>
    <row r="264">
      <c r="A264" s="11" t="n"/>
      <c r="B264" s="5">
        <f>IF(A264="","",IFERROR(INDEX(Pedidos!$C$2:$C$501,MATCH(A264,Pedidos!$B$2:$B$501,0)),""))</f>
        <v/>
      </c>
      <c r="C264" s="5">
        <f>IF(A264="","",SUMIFS(Pedidos!$J$2:$J$501,Pedidos!$B$2:$B$501,A264))</f>
        <v/>
      </c>
      <c r="D264" s="5">
        <f>IF(A264="","",MAX(0,Config!$B$2-C264))</f>
        <v/>
      </c>
      <c r="E264" s="5">
        <f>IF(A264="","",MAX(0,Config!$B$3-C264))</f>
        <v/>
      </c>
      <c r="F264" s="5">
        <f>IF(A264="","",IF(COUNTIFS(Pedidos!$B$2:$B$501,A264,Pedidos!$D$2:$D$501,"Canje llavero")&gt;0,"Sí","No"))</f>
        <v/>
      </c>
      <c r="G264" s="5">
        <f>IF(A264="","",IF(COUNTIFS(Pedidos!$B$2:$B$501,A264,Pedidos!$D$2:$D$501,"Canje cápsula")&gt;0,"Sí","No"))</f>
        <v/>
      </c>
      <c r="H264" s="5">
        <f>IF(A264="","",IF(AND(C264&gt;=Config!$B$3,G264="No"),"¡Le toca abrir la cápsula!",IF(AND(C264&gt;=Config!$B$2,F264="No"),"¡Le toca llavero con nombre!",IF(C264&lt;Config!$B$2,"Faltan "&amp;D264&amp;" para el llavero","Faltan "&amp;E264&amp;" para la cápsula"))))</f>
        <v/>
      </c>
    </row>
    <row r="265">
      <c r="A265" s="11" t="n"/>
      <c r="B265" s="5">
        <f>IF(A265="","",IFERROR(INDEX(Pedidos!$C$2:$C$501,MATCH(A265,Pedidos!$B$2:$B$501,0)),""))</f>
        <v/>
      </c>
      <c r="C265" s="5">
        <f>IF(A265="","",SUMIFS(Pedidos!$J$2:$J$501,Pedidos!$B$2:$B$501,A265))</f>
        <v/>
      </c>
      <c r="D265" s="5">
        <f>IF(A265="","",MAX(0,Config!$B$2-C265))</f>
        <v/>
      </c>
      <c r="E265" s="5">
        <f>IF(A265="","",MAX(0,Config!$B$3-C265))</f>
        <v/>
      </c>
      <c r="F265" s="5">
        <f>IF(A265="","",IF(COUNTIFS(Pedidos!$B$2:$B$501,A265,Pedidos!$D$2:$D$501,"Canje llavero")&gt;0,"Sí","No"))</f>
        <v/>
      </c>
      <c r="G265" s="5">
        <f>IF(A265="","",IF(COUNTIFS(Pedidos!$B$2:$B$501,A265,Pedidos!$D$2:$D$501,"Canje cápsula")&gt;0,"Sí","No"))</f>
        <v/>
      </c>
      <c r="H265" s="5">
        <f>IF(A265="","",IF(AND(C265&gt;=Config!$B$3,G265="No"),"¡Le toca abrir la cápsula!",IF(AND(C265&gt;=Config!$B$2,F265="No"),"¡Le toca llavero con nombre!",IF(C265&lt;Config!$B$2,"Faltan "&amp;D265&amp;" para el llavero","Faltan "&amp;E265&amp;" para la cápsula"))))</f>
        <v/>
      </c>
    </row>
    <row r="266">
      <c r="A266" s="11" t="n"/>
      <c r="B266" s="5">
        <f>IF(A266="","",IFERROR(INDEX(Pedidos!$C$2:$C$501,MATCH(A266,Pedidos!$B$2:$B$501,0)),""))</f>
        <v/>
      </c>
      <c r="C266" s="5">
        <f>IF(A266="","",SUMIFS(Pedidos!$J$2:$J$501,Pedidos!$B$2:$B$501,A266))</f>
        <v/>
      </c>
      <c r="D266" s="5">
        <f>IF(A266="","",MAX(0,Config!$B$2-C266))</f>
        <v/>
      </c>
      <c r="E266" s="5">
        <f>IF(A266="","",MAX(0,Config!$B$3-C266))</f>
        <v/>
      </c>
      <c r="F266" s="5">
        <f>IF(A266="","",IF(COUNTIFS(Pedidos!$B$2:$B$501,A266,Pedidos!$D$2:$D$501,"Canje llavero")&gt;0,"Sí","No"))</f>
        <v/>
      </c>
      <c r="G266" s="5">
        <f>IF(A266="","",IF(COUNTIFS(Pedidos!$B$2:$B$501,A266,Pedidos!$D$2:$D$501,"Canje cápsula")&gt;0,"Sí","No"))</f>
        <v/>
      </c>
      <c r="H266" s="5">
        <f>IF(A266="","",IF(AND(C266&gt;=Config!$B$3,G266="No"),"¡Le toca abrir la cápsula!",IF(AND(C266&gt;=Config!$B$2,F266="No"),"¡Le toca llavero con nombre!",IF(C266&lt;Config!$B$2,"Faltan "&amp;D266&amp;" para el llavero","Faltan "&amp;E266&amp;" para la cápsula"))))</f>
        <v/>
      </c>
    </row>
    <row r="267">
      <c r="A267" s="11" t="n"/>
      <c r="B267" s="5">
        <f>IF(A267="","",IFERROR(INDEX(Pedidos!$C$2:$C$501,MATCH(A267,Pedidos!$B$2:$B$501,0)),""))</f>
        <v/>
      </c>
      <c r="C267" s="5">
        <f>IF(A267="","",SUMIFS(Pedidos!$J$2:$J$501,Pedidos!$B$2:$B$501,A267))</f>
        <v/>
      </c>
      <c r="D267" s="5">
        <f>IF(A267="","",MAX(0,Config!$B$2-C267))</f>
        <v/>
      </c>
      <c r="E267" s="5">
        <f>IF(A267="","",MAX(0,Config!$B$3-C267))</f>
        <v/>
      </c>
      <c r="F267" s="5">
        <f>IF(A267="","",IF(COUNTIFS(Pedidos!$B$2:$B$501,A267,Pedidos!$D$2:$D$501,"Canje llavero")&gt;0,"Sí","No"))</f>
        <v/>
      </c>
      <c r="G267" s="5">
        <f>IF(A267="","",IF(COUNTIFS(Pedidos!$B$2:$B$501,A267,Pedidos!$D$2:$D$501,"Canje cápsula")&gt;0,"Sí","No"))</f>
        <v/>
      </c>
      <c r="H267" s="5">
        <f>IF(A267="","",IF(AND(C267&gt;=Config!$B$3,G267="No"),"¡Le toca abrir la cápsula!",IF(AND(C267&gt;=Config!$B$2,F267="No"),"¡Le toca llavero con nombre!",IF(C267&lt;Config!$B$2,"Faltan "&amp;D267&amp;" para el llavero","Faltan "&amp;E267&amp;" para la cápsula"))))</f>
        <v/>
      </c>
    </row>
    <row r="268">
      <c r="A268" s="11" t="n"/>
      <c r="B268" s="5">
        <f>IF(A268="","",IFERROR(INDEX(Pedidos!$C$2:$C$501,MATCH(A268,Pedidos!$B$2:$B$501,0)),""))</f>
        <v/>
      </c>
      <c r="C268" s="5">
        <f>IF(A268="","",SUMIFS(Pedidos!$J$2:$J$501,Pedidos!$B$2:$B$501,A268))</f>
        <v/>
      </c>
      <c r="D268" s="5">
        <f>IF(A268="","",MAX(0,Config!$B$2-C268))</f>
        <v/>
      </c>
      <c r="E268" s="5">
        <f>IF(A268="","",MAX(0,Config!$B$3-C268))</f>
        <v/>
      </c>
      <c r="F268" s="5">
        <f>IF(A268="","",IF(COUNTIFS(Pedidos!$B$2:$B$501,A268,Pedidos!$D$2:$D$501,"Canje llavero")&gt;0,"Sí","No"))</f>
        <v/>
      </c>
      <c r="G268" s="5">
        <f>IF(A268="","",IF(COUNTIFS(Pedidos!$B$2:$B$501,A268,Pedidos!$D$2:$D$501,"Canje cápsula")&gt;0,"Sí","No"))</f>
        <v/>
      </c>
      <c r="H268" s="5">
        <f>IF(A268="","",IF(AND(C268&gt;=Config!$B$3,G268="No"),"¡Le toca abrir la cápsula!",IF(AND(C268&gt;=Config!$B$2,F268="No"),"¡Le toca llavero con nombre!",IF(C268&lt;Config!$B$2,"Faltan "&amp;D268&amp;" para el llavero","Faltan "&amp;E268&amp;" para la cápsula"))))</f>
        <v/>
      </c>
    </row>
    <row r="269">
      <c r="A269" s="11" t="n"/>
      <c r="B269" s="5">
        <f>IF(A269="","",IFERROR(INDEX(Pedidos!$C$2:$C$501,MATCH(A269,Pedidos!$B$2:$B$501,0)),""))</f>
        <v/>
      </c>
      <c r="C269" s="5">
        <f>IF(A269="","",SUMIFS(Pedidos!$J$2:$J$501,Pedidos!$B$2:$B$501,A269))</f>
        <v/>
      </c>
      <c r="D269" s="5">
        <f>IF(A269="","",MAX(0,Config!$B$2-C269))</f>
        <v/>
      </c>
      <c r="E269" s="5">
        <f>IF(A269="","",MAX(0,Config!$B$3-C269))</f>
        <v/>
      </c>
      <c r="F269" s="5">
        <f>IF(A269="","",IF(COUNTIFS(Pedidos!$B$2:$B$501,A269,Pedidos!$D$2:$D$501,"Canje llavero")&gt;0,"Sí","No"))</f>
        <v/>
      </c>
      <c r="G269" s="5">
        <f>IF(A269="","",IF(COUNTIFS(Pedidos!$B$2:$B$501,A269,Pedidos!$D$2:$D$501,"Canje cápsula")&gt;0,"Sí","No"))</f>
        <v/>
      </c>
      <c r="H269" s="5">
        <f>IF(A269="","",IF(AND(C269&gt;=Config!$B$3,G269="No"),"¡Le toca abrir la cápsula!",IF(AND(C269&gt;=Config!$B$2,F269="No"),"¡Le toca llavero con nombre!",IF(C269&lt;Config!$B$2,"Faltan "&amp;D269&amp;" para el llavero","Faltan "&amp;E269&amp;" para la cápsula"))))</f>
        <v/>
      </c>
    </row>
    <row r="270">
      <c r="A270" s="11" t="n"/>
      <c r="B270" s="5">
        <f>IF(A270="","",IFERROR(INDEX(Pedidos!$C$2:$C$501,MATCH(A270,Pedidos!$B$2:$B$501,0)),""))</f>
        <v/>
      </c>
      <c r="C270" s="5">
        <f>IF(A270="","",SUMIFS(Pedidos!$J$2:$J$501,Pedidos!$B$2:$B$501,A270))</f>
        <v/>
      </c>
      <c r="D270" s="5">
        <f>IF(A270="","",MAX(0,Config!$B$2-C270))</f>
        <v/>
      </c>
      <c r="E270" s="5">
        <f>IF(A270="","",MAX(0,Config!$B$3-C270))</f>
        <v/>
      </c>
      <c r="F270" s="5">
        <f>IF(A270="","",IF(COUNTIFS(Pedidos!$B$2:$B$501,A270,Pedidos!$D$2:$D$501,"Canje llavero")&gt;0,"Sí","No"))</f>
        <v/>
      </c>
      <c r="G270" s="5">
        <f>IF(A270="","",IF(COUNTIFS(Pedidos!$B$2:$B$501,A270,Pedidos!$D$2:$D$501,"Canje cápsula")&gt;0,"Sí","No"))</f>
        <v/>
      </c>
      <c r="H270" s="5">
        <f>IF(A270="","",IF(AND(C270&gt;=Config!$B$3,G270="No"),"¡Le toca abrir la cápsula!",IF(AND(C270&gt;=Config!$B$2,F270="No"),"¡Le toca llavero con nombre!",IF(C270&lt;Config!$B$2,"Faltan "&amp;D270&amp;" para el llavero","Faltan "&amp;E270&amp;" para la cápsula"))))</f>
        <v/>
      </c>
    </row>
    <row r="271">
      <c r="A271" s="11" t="n"/>
      <c r="B271" s="5">
        <f>IF(A271="","",IFERROR(INDEX(Pedidos!$C$2:$C$501,MATCH(A271,Pedidos!$B$2:$B$501,0)),""))</f>
        <v/>
      </c>
      <c r="C271" s="5">
        <f>IF(A271="","",SUMIFS(Pedidos!$J$2:$J$501,Pedidos!$B$2:$B$501,A271))</f>
        <v/>
      </c>
      <c r="D271" s="5">
        <f>IF(A271="","",MAX(0,Config!$B$2-C271))</f>
        <v/>
      </c>
      <c r="E271" s="5">
        <f>IF(A271="","",MAX(0,Config!$B$3-C271))</f>
        <v/>
      </c>
      <c r="F271" s="5">
        <f>IF(A271="","",IF(COUNTIFS(Pedidos!$B$2:$B$501,A271,Pedidos!$D$2:$D$501,"Canje llavero")&gt;0,"Sí","No"))</f>
        <v/>
      </c>
      <c r="G271" s="5">
        <f>IF(A271="","",IF(COUNTIFS(Pedidos!$B$2:$B$501,A271,Pedidos!$D$2:$D$501,"Canje cápsula")&gt;0,"Sí","No"))</f>
        <v/>
      </c>
      <c r="H271" s="5">
        <f>IF(A271="","",IF(AND(C271&gt;=Config!$B$3,G271="No"),"¡Le toca abrir la cápsula!",IF(AND(C271&gt;=Config!$B$2,F271="No"),"¡Le toca llavero con nombre!",IF(C271&lt;Config!$B$2,"Faltan "&amp;D271&amp;" para el llavero","Faltan "&amp;E271&amp;" para la cápsula"))))</f>
        <v/>
      </c>
    </row>
    <row r="272">
      <c r="A272" s="11" t="n"/>
      <c r="B272" s="5">
        <f>IF(A272="","",IFERROR(INDEX(Pedidos!$C$2:$C$501,MATCH(A272,Pedidos!$B$2:$B$501,0)),""))</f>
        <v/>
      </c>
      <c r="C272" s="5">
        <f>IF(A272="","",SUMIFS(Pedidos!$J$2:$J$501,Pedidos!$B$2:$B$501,A272))</f>
        <v/>
      </c>
      <c r="D272" s="5">
        <f>IF(A272="","",MAX(0,Config!$B$2-C272))</f>
        <v/>
      </c>
      <c r="E272" s="5">
        <f>IF(A272="","",MAX(0,Config!$B$3-C272))</f>
        <v/>
      </c>
      <c r="F272" s="5">
        <f>IF(A272="","",IF(COUNTIFS(Pedidos!$B$2:$B$501,A272,Pedidos!$D$2:$D$501,"Canje llavero")&gt;0,"Sí","No"))</f>
        <v/>
      </c>
      <c r="G272" s="5">
        <f>IF(A272="","",IF(COUNTIFS(Pedidos!$B$2:$B$501,A272,Pedidos!$D$2:$D$501,"Canje cápsula")&gt;0,"Sí","No"))</f>
        <v/>
      </c>
      <c r="H272" s="5">
        <f>IF(A272="","",IF(AND(C272&gt;=Config!$B$3,G272="No"),"¡Le toca abrir la cápsula!",IF(AND(C272&gt;=Config!$B$2,F272="No"),"¡Le toca llavero con nombre!",IF(C272&lt;Config!$B$2,"Faltan "&amp;D272&amp;" para el llavero","Faltan "&amp;E272&amp;" para la cápsula"))))</f>
        <v/>
      </c>
    </row>
    <row r="273">
      <c r="A273" s="11" t="n"/>
      <c r="B273" s="5">
        <f>IF(A273="","",IFERROR(INDEX(Pedidos!$C$2:$C$501,MATCH(A273,Pedidos!$B$2:$B$501,0)),""))</f>
        <v/>
      </c>
      <c r="C273" s="5">
        <f>IF(A273="","",SUMIFS(Pedidos!$J$2:$J$501,Pedidos!$B$2:$B$501,A273))</f>
        <v/>
      </c>
      <c r="D273" s="5">
        <f>IF(A273="","",MAX(0,Config!$B$2-C273))</f>
        <v/>
      </c>
      <c r="E273" s="5">
        <f>IF(A273="","",MAX(0,Config!$B$3-C273))</f>
        <v/>
      </c>
      <c r="F273" s="5">
        <f>IF(A273="","",IF(COUNTIFS(Pedidos!$B$2:$B$501,A273,Pedidos!$D$2:$D$501,"Canje llavero")&gt;0,"Sí","No"))</f>
        <v/>
      </c>
      <c r="G273" s="5">
        <f>IF(A273="","",IF(COUNTIFS(Pedidos!$B$2:$B$501,A273,Pedidos!$D$2:$D$501,"Canje cápsula")&gt;0,"Sí","No"))</f>
        <v/>
      </c>
      <c r="H273" s="5">
        <f>IF(A273="","",IF(AND(C273&gt;=Config!$B$3,G273="No"),"¡Le toca abrir la cápsula!",IF(AND(C273&gt;=Config!$B$2,F273="No"),"¡Le toca llavero con nombre!",IF(C273&lt;Config!$B$2,"Faltan "&amp;D273&amp;" para el llavero","Faltan "&amp;E273&amp;" para la cápsula"))))</f>
        <v/>
      </c>
    </row>
    <row r="274">
      <c r="A274" s="11" t="n"/>
      <c r="B274" s="5">
        <f>IF(A274="","",IFERROR(INDEX(Pedidos!$C$2:$C$501,MATCH(A274,Pedidos!$B$2:$B$501,0)),""))</f>
        <v/>
      </c>
      <c r="C274" s="5">
        <f>IF(A274="","",SUMIFS(Pedidos!$J$2:$J$501,Pedidos!$B$2:$B$501,A274))</f>
        <v/>
      </c>
      <c r="D274" s="5">
        <f>IF(A274="","",MAX(0,Config!$B$2-C274))</f>
        <v/>
      </c>
      <c r="E274" s="5">
        <f>IF(A274="","",MAX(0,Config!$B$3-C274))</f>
        <v/>
      </c>
      <c r="F274" s="5">
        <f>IF(A274="","",IF(COUNTIFS(Pedidos!$B$2:$B$501,A274,Pedidos!$D$2:$D$501,"Canje llavero")&gt;0,"Sí","No"))</f>
        <v/>
      </c>
      <c r="G274" s="5">
        <f>IF(A274="","",IF(COUNTIFS(Pedidos!$B$2:$B$501,A274,Pedidos!$D$2:$D$501,"Canje cápsula")&gt;0,"Sí","No"))</f>
        <v/>
      </c>
      <c r="H274" s="5">
        <f>IF(A274="","",IF(AND(C274&gt;=Config!$B$3,G274="No"),"¡Le toca abrir la cápsula!",IF(AND(C274&gt;=Config!$B$2,F274="No"),"¡Le toca llavero con nombre!",IF(C274&lt;Config!$B$2,"Faltan "&amp;D274&amp;" para el llavero","Faltan "&amp;E274&amp;" para la cápsula"))))</f>
        <v/>
      </c>
    </row>
    <row r="275">
      <c r="A275" s="11" t="n"/>
      <c r="B275" s="5">
        <f>IF(A275="","",IFERROR(INDEX(Pedidos!$C$2:$C$501,MATCH(A275,Pedidos!$B$2:$B$501,0)),""))</f>
        <v/>
      </c>
      <c r="C275" s="5">
        <f>IF(A275="","",SUMIFS(Pedidos!$J$2:$J$501,Pedidos!$B$2:$B$501,A275))</f>
        <v/>
      </c>
      <c r="D275" s="5">
        <f>IF(A275="","",MAX(0,Config!$B$2-C275))</f>
        <v/>
      </c>
      <c r="E275" s="5">
        <f>IF(A275="","",MAX(0,Config!$B$3-C275))</f>
        <v/>
      </c>
      <c r="F275" s="5">
        <f>IF(A275="","",IF(COUNTIFS(Pedidos!$B$2:$B$501,A275,Pedidos!$D$2:$D$501,"Canje llavero")&gt;0,"Sí","No"))</f>
        <v/>
      </c>
      <c r="G275" s="5">
        <f>IF(A275="","",IF(COUNTIFS(Pedidos!$B$2:$B$501,A275,Pedidos!$D$2:$D$501,"Canje cápsula")&gt;0,"Sí","No"))</f>
        <v/>
      </c>
      <c r="H275" s="5">
        <f>IF(A275="","",IF(AND(C275&gt;=Config!$B$3,G275="No"),"¡Le toca abrir la cápsula!",IF(AND(C275&gt;=Config!$B$2,F275="No"),"¡Le toca llavero con nombre!",IF(C275&lt;Config!$B$2,"Faltan "&amp;D275&amp;" para el llavero","Faltan "&amp;E275&amp;" para la cápsula"))))</f>
        <v/>
      </c>
    </row>
    <row r="276">
      <c r="A276" s="11" t="n"/>
      <c r="B276" s="5">
        <f>IF(A276="","",IFERROR(INDEX(Pedidos!$C$2:$C$501,MATCH(A276,Pedidos!$B$2:$B$501,0)),""))</f>
        <v/>
      </c>
      <c r="C276" s="5">
        <f>IF(A276="","",SUMIFS(Pedidos!$J$2:$J$501,Pedidos!$B$2:$B$501,A276))</f>
        <v/>
      </c>
      <c r="D276" s="5">
        <f>IF(A276="","",MAX(0,Config!$B$2-C276))</f>
        <v/>
      </c>
      <c r="E276" s="5">
        <f>IF(A276="","",MAX(0,Config!$B$3-C276))</f>
        <v/>
      </c>
      <c r="F276" s="5">
        <f>IF(A276="","",IF(COUNTIFS(Pedidos!$B$2:$B$501,A276,Pedidos!$D$2:$D$501,"Canje llavero")&gt;0,"Sí","No"))</f>
        <v/>
      </c>
      <c r="G276" s="5">
        <f>IF(A276="","",IF(COUNTIFS(Pedidos!$B$2:$B$501,A276,Pedidos!$D$2:$D$501,"Canje cápsula")&gt;0,"Sí","No"))</f>
        <v/>
      </c>
      <c r="H276" s="5">
        <f>IF(A276="","",IF(AND(C276&gt;=Config!$B$3,G276="No"),"¡Le toca abrir la cápsula!",IF(AND(C276&gt;=Config!$B$2,F276="No"),"¡Le toca llavero con nombre!",IF(C276&lt;Config!$B$2,"Faltan "&amp;D276&amp;" para el llavero","Faltan "&amp;E276&amp;" para la cápsula"))))</f>
        <v/>
      </c>
    </row>
    <row r="277">
      <c r="A277" s="11" t="n"/>
      <c r="B277" s="5">
        <f>IF(A277="","",IFERROR(INDEX(Pedidos!$C$2:$C$501,MATCH(A277,Pedidos!$B$2:$B$501,0)),""))</f>
        <v/>
      </c>
      <c r="C277" s="5">
        <f>IF(A277="","",SUMIFS(Pedidos!$J$2:$J$501,Pedidos!$B$2:$B$501,A277))</f>
        <v/>
      </c>
      <c r="D277" s="5">
        <f>IF(A277="","",MAX(0,Config!$B$2-C277))</f>
        <v/>
      </c>
      <c r="E277" s="5">
        <f>IF(A277="","",MAX(0,Config!$B$3-C277))</f>
        <v/>
      </c>
      <c r="F277" s="5">
        <f>IF(A277="","",IF(COUNTIFS(Pedidos!$B$2:$B$501,A277,Pedidos!$D$2:$D$501,"Canje llavero")&gt;0,"Sí","No"))</f>
        <v/>
      </c>
      <c r="G277" s="5">
        <f>IF(A277="","",IF(COUNTIFS(Pedidos!$B$2:$B$501,A277,Pedidos!$D$2:$D$501,"Canje cápsula")&gt;0,"Sí","No"))</f>
        <v/>
      </c>
      <c r="H277" s="5">
        <f>IF(A277="","",IF(AND(C277&gt;=Config!$B$3,G277="No"),"¡Le toca abrir la cápsula!",IF(AND(C277&gt;=Config!$B$2,F277="No"),"¡Le toca llavero con nombre!",IF(C277&lt;Config!$B$2,"Faltan "&amp;D277&amp;" para el llavero","Faltan "&amp;E277&amp;" para la cápsula"))))</f>
        <v/>
      </c>
    </row>
    <row r="278">
      <c r="A278" s="11" t="n"/>
      <c r="B278" s="5">
        <f>IF(A278="","",IFERROR(INDEX(Pedidos!$C$2:$C$501,MATCH(A278,Pedidos!$B$2:$B$501,0)),""))</f>
        <v/>
      </c>
      <c r="C278" s="5">
        <f>IF(A278="","",SUMIFS(Pedidos!$J$2:$J$501,Pedidos!$B$2:$B$501,A278))</f>
        <v/>
      </c>
      <c r="D278" s="5">
        <f>IF(A278="","",MAX(0,Config!$B$2-C278))</f>
        <v/>
      </c>
      <c r="E278" s="5">
        <f>IF(A278="","",MAX(0,Config!$B$3-C278))</f>
        <v/>
      </c>
      <c r="F278" s="5">
        <f>IF(A278="","",IF(COUNTIFS(Pedidos!$B$2:$B$501,A278,Pedidos!$D$2:$D$501,"Canje llavero")&gt;0,"Sí","No"))</f>
        <v/>
      </c>
      <c r="G278" s="5">
        <f>IF(A278="","",IF(COUNTIFS(Pedidos!$B$2:$B$501,A278,Pedidos!$D$2:$D$501,"Canje cápsula")&gt;0,"Sí","No"))</f>
        <v/>
      </c>
      <c r="H278" s="5">
        <f>IF(A278="","",IF(AND(C278&gt;=Config!$B$3,G278="No"),"¡Le toca abrir la cápsula!",IF(AND(C278&gt;=Config!$B$2,F278="No"),"¡Le toca llavero con nombre!",IF(C278&lt;Config!$B$2,"Faltan "&amp;D278&amp;" para el llavero","Faltan "&amp;E278&amp;" para la cápsula"))))</f>
        <v/>
      </c>
    </row>
    <row r="279">
      <c r="A279" s="11" t="n"/>
      <c r="B279" s="5">
        <f>IF(A279="","",IFERROR(INDEX(Pedidos!$C$2:$C$501,MATCH(A279,Pedidos!$B$2:$B$501,0)),""))</f>
        <v/>
      </c>
      <c r="C279" s="5">
        <f>IF(A279="","",SUMIFS(Pedidos!$J$2:$J$501,Pedidos!$B$2:$B$501,A279))</f>
        <v/>
      </c>
      <c r="D279" s="5">
        <f>IF(A279="","",MAX(0,Config!$B$2-C279))</f>
        <v/>
      </c>
      <c r="E279" s="5">
        <f>IF(A279="","",MAX(0,Config!$B$3-C279))</f>
        <v/>
      </c>
      <c r="F279" s="5">
        <f>IF(A279="","",IF(COUNTIFS(Pedidos!$B$2:$B$501,A279,Pedidos!$D$2:$D$501,"Canje llavero")&gt;0,"Sí","No"))</f>
        <v/>
      </c>
      <c r="G279" s="5">
        <f>IF(A279="","",IF(COUNTIFS(Pedidos!$B$2:$B$501,A279,Pedidos!$D$2:$D$501,"Canje cápsula")&gt;0,"Sí","No"))</f>
        <v/>
      </c>
      <c r="H279" s="5">
        <f>IF(A279="","",IF(AND(C279&gt;=Config!$B$3,G279="No"),"¡Le toca abrir la cápsula!",IF(AND(C279&gt;=Config!$B$2,F279="No"),"¡Le toca llavero con nombre!",IF(C279&lt;Config!$B$2,"Faltan "&amp;D279&amp;" para el llavero","Faltan "&amp;E279&amp;" para la cápsula"))))</f>
        <v/>
      </c>
    </row>
    <row r="280">
      <c r="A280" s="11" t="n"/>
      <c r="B280" s="5">
        <f>IF(A280="","",IFERROR(INDEX(Pedidos!$C$2:$C$501,MATCH(A280,Pedidos!$B$2:$B$501,0)),""))</f>
        <v/>
      </c>
      <c r="C280" s="5">
        <f>IF(A280="","",SUMIFS(Pedidos!$J$2:$J$501,Pedidos!$B$2:$B$501,A280))</f>
        <v/>
      </c>
      <c r="D280" s="5">
        <f>IF(A280="","",MAX(0,Config!$B$2-C280))</f>
        <v/>
      </c>
      <c r="E280" s="5">
        <f>IF(A280="","",MAX(0,Config!$B$3-C280))</f>
        <v/>
      </c>
      <c r="F280" s="5">
        <f>IF(A280="","",IF(COUNTIFS(Pedidos!$B$2:$B$501,A280,Pedidos!$D$2:$D$501,"Canje llavero")&gt;0,"Sí","No"))</f>
        <v/>
      </c>
      <c r="G280" s="5">
        <f>IF(A280="","",IF(COUNTIFS(Pedidos!$B$2:$B$501,A280,Pedidos!$D$2:$D$501,"Canje cápsula")&gt;0,"Sí","No"))</f>
        <v/>
      </c>
      <c r="H280" s="5">
        <f>IF(A280="","",IF(AND(C280&gt;=Config!$B$3,G280="No"),"¡Le toca abrir la cápsula!",IF(AND(C280&gt;=Config!$B$2,F280="No"),"¡Le toca llavero con nombre!",IF(C280&lt;Config!$B$2,"Faltan "&amp;D280&amp;" para el llavero","Faltan "&amp;E280&amp;" para la cápsula"))))</f>
        <v/>
      </c>
    </row>
    <row r="281">
      <c r="A281" s="11" t="n"/>
      <c r="B281" s="5">
        <f>IF(A281="","",IFERROR(INDEX(Pedidos!$C$2:$C$501,MATCH(A281,Pedidos!$B$2:$B$501,0)),""))</f>
        <v/>
      </c>
      <c r="C281" s="5">
        <f>IF(A281="","",SUMIFS(Pedidos!$J$2:$J$501,Pedidos!$B$2:$B$501,A281))</f>
        <v/>
      </c>
      <c r="D281" s="5">
        <f>IF(A281="","",MAX(0,Config!$B$2-C281))</f>
        <v/>
      </c>
      <c r="E281" s="5">
        <f>IF(A281="","",MAX(0,Config!$B$3-C281))</f>
        <v/>
      </c>
      <c r="F281" s="5">
        <f>IF(A281="","",IF(COUNTIFS(Pedidos!$B$2:$B$501,A281,Pedidos!$D$2:$D$501,"Canje llavero")&gt;0,"Sí","No"))</f>
        <v/>
      </c>
      <c r="G281" s="5">
        <f>IF(A281="","",IF(COUNTIFS(Pedidos!$B$2:$B$501,A281,Pedidos!$D$2:$D$501,"Canje cápsula")&gt;0,"Sí","No"))</f>
        <v/>
      </c>
      <c r="H281" s="5">
        <f>IF(A281="","",IF(AND(C281&gt;=Config!$B$3,G281="No"),"¡Le toca abrir la cápsula!",IF(AND(C281&gt;=Config!$B$2,F281="No"),"¡Le toca llavero con nombre!",IF(C281&lt;Config!$B$2,"Faltan "&amp;D281&amp;" para el llavero","Faltan "&amp;E281&amp;" para la cápsula"))))</f>
        <v/>
      </c>
    </row>
    <row r="282">
      <c r="A282" s="11" t="n"/>
      <c r="B282" s="5">
        <f>IF(A282="","",IFERROR(INDEX(Pedidos!$C$2:$C$501,MATCH(A282,Pedidos!$B$2:$B$501,0)),""))</f>
        <v/>
      </c>
      <c r="C282" s="5">
        <f>IF(A282="","",SUMIFS(Pedidos!$J$2:$J$501,Pedidos!$B$2:$B$501,A282))</f>
        <v/>
      </c>
      <c r="D282" s="5">
        <f>IF(A282="","",MAX(0,Config!$B$2-C282))</f>
        <v/>
      </c>
      <c r="E282" s="5">
        <f>IF(A282="","",MAX(0,Config!$B$3-C282))</f>
        <v/>
      </c>
      <c r="F282" s="5">
        <f>IF(A282="","",IF(COUNTIFS(Pedidos!$B$2:$B$501,A282,Pedidos!$D$2:$D$501,"Canje llavero")&gt;0,"Sí","No"))</f>
        <v/>
      </c>
      <c r="G282" s="5">
        <f>IF(A282="","",IF(COUNTIFS(Pedidos!$B$2:$B$501,A282,Pedidos!$D$2:$D$501,"Canje cápsula")&gt;0,"Sí","No"))</f>
        <v/>
      </c>
      <c r="H282" s="5">
        <f>IF(A282="","",IF(AND(C282&gt;=Config!$B$3,G282="No"),"¡Le toca abrir la cápsula!",IF(AND(C282&gt;=Config!$B$2,F282="No"),"¡Le toca llavero con nombre!",IF(C282&lt;Config!$B$2,"Faltan "&amp;D282&amp;" para el llavero","Faltan "&amp;E282&amp;" para la cápsula"))))</f>
        <v/>
      </c>
    </row>
    <row r="283">
      <c r="A283" s="11" t="n"/>
      <c r="B283" s="5">
        <f>IF(A283="","",IFERROR(INDEX(Pedidos!$C$2:$C$501,MATCH(A283,Pedidos!$B$2:$B$501,0)),""))</f>
        <v/>
      </c>
      <c r="C283" s="5">
        <f>IF(A283="","",SUMIFS(Pedidos!$J$2:$J$501,Pedidos!$B$2:$B$501,A283))</f>
        <v/>
      </c>
      <c r="D283" s="5">
        <f>IF(A283="","",MAX(0,Config!$B$2-C283))</f>
        <v/>
      </c>
      <c r="E283" s="5">
        <f>IF(A283="","",MAX(0,Config!$B$3-C283))</f>
        <v/>
      </c>
      <c r="F283" s="5">
        <f>IF(A283="","",IF(COUNTIFS(Pedidos!$B$2:$B$501,A283,Pedidos!$D$2:$D$501,"Canje llavero")&gt;0,"Sí","No"))</f>
        <v/>
      </c>
      <c r="G283" s="5">
        <f>IF(A283="","",IF(COUNTIFS(Pedidos!$B$2:$B$501,A283,Pedidos!$D$2:$D$501,"Canje cápsula")&gt;0,"Sí","No"))</f>
        <v/>
      </c>
      <c r="H283" s="5">
        <f>IF(A283="","",IF(AND(C283&gt;=Config!$B$3,G283="No"),"¡Le toca abrir la cápsula!",IF(AND(C283&gt;=Config!$B$2,F283="No"),"¡Le toca llavero con nombre!",IF(C283&lt;Config!$B$2,"Faltan "&amp;D283&amp;" para el llavero","Faltan "&amp;E283&amp;" para la cápsula"))))</f>
        <v/>
      </c>
    </row>
    <row r="284">
      <c r="A284" s="11" t="n"/>
      <c r="B284" s="5">
        <f>IF(A284="","",IFERROR(INDEX(Pedidos!$C$2:$C$501,MATCH(A284,Pedidos!$B$2:$B$501,0)),""))</f>
        <v/>
      </c>
      <c r="C284" s="5">
        <f>IF(A284="","",SUMIFS(Pedidos!$J$2:$J$501,Pedidos!$B$2:$B$501,A284))</f>
        <v/>
      </c>
      <c r="D284" s="5">
        <f>IF(A284="","",MAX(0,Config!$B$2-C284))</f>
        <v/>
      </c>
      <c r="E284" s="5">
        <f>IF(A284="","",MAX(0,Config!$B$3-C284))</f>
        <v/>
      </c>
      <c r="F284" s="5">
        <f>IF(A284="","",IF(COUNTIFS(Pedidos!$B$2:$B$501,A284,Pedidos!$D$2:$D$501,"Canje llavero")&gt;0,"Sí","No"))</f>
        <v/>
      </c>
      <c r="G284" s="5">
        <f>IF(A284="","",IF(COUNTIFS(Pedidos!$B$2:$B$501,A284,Pedidos!$D$2:$D$501,"Canje cápsula")&gt;0,"Sí","No"))</f>
        <v/>
      </c>
      <c r="H284" s="5">
        <f>IF(A284="","",IF(AND(C284&gt;=Config!$B$3,G284="No"),"¡Le toca abrir la cápsula!",IF(AND(C284&gt;=Config!$B$2,F284="No"),"¡Le toca llavero con nombre!",IF(C284&lt;Config!$B$2,"Faltan "&amp;D284&amp;" para el llavero","Faltan "&amp;E284&amp;" para la cápsula"))))</f>
        <v/>
      </c>
    </row>
    <row r="285">
      <c r="A285" s="11" t="n"/>
      <c r="B285" s="5">
        <f>IF(A285="","",IFERROR(INDEX(Pedidos!$C$2:$C$501,MATCH(A285,Pedidos!$B$2:$B$501,0)),""))</f>
        <v/>
      </c>
      <c r="C285" s="5">
        <f>IF(A285="","",SUMIFS(Pedidos!$J$2:$J$501,Pedidos!$B$2:$B$501,A285))</f>
        <v/>
      </c>
      <c r="D285" s="5">
        <f>IF(A285="","",MAX(0,Config!$B$2-C285))</f>
        <v/>
      </c>
      <c r="E285" s="5">
        <f>IF(A285="","",MAX(0,Config!$B$3-C285))</f>
        <v/>
      </c>
      <c r="F285" s="5">
        <f>IF(A285="","",IF(COUNTIFS(Pedidos!$B$2:$B$501,A285,Pedidos!$D$2:$D$501,"Canje llavero")&gt;0,"Sí","No"))</f>
        <v/>
      </c>
      <c r="G285" s="5">
        <f>IF(A285="","",IF(COUNTIFS(Pedidos!$B$2:$B$501,A285,Pedidos!$D$2:$D$501,"Canje cápsula")&gt;0,"Sí","No"))</f>
        <v/>
      </c>
      <c r="H285" s="5">
        <f>IF(A285="","",IF(AND(C285&gt;=Config!$B$3,G285="No"),"¡Le toca abrir la cápsula!",IF(AND(C285&gt;=Config!$B$2,F285="No"),"¡Le toca llavero con nombre!",IF(C285&lt;Config!$B$2,"Faltan "&amp;D285&amp;" para el llavero","Faltan "&amp;E285&amp;" para la cápsula"))))</f>
        <v/>
      </c>
    </row>
    <row r="286">
      <c r="A286" s="11" t="n"/>
      <c r="B286" s="5">
        <f>IF(A286="","",IFERROR(INDEX(Pedidos!$C$2:$C$501,MATCH(A286,Pedidos!$B$2:$B$501,0)),""))</f>
        <v/>
      </c>
      <c r="C286" s="5">
        <f>IF(A286="","",SUMIFS(Pedidos!$J$2:$J$501,Pedidos!$B$2:$B$501,A286))</f>
        <v/>
      </c>
      <c r="D286" s="5">
        <f>IF(A286="","",MAX(0,Config!$B$2-C286))</f>
        <v/>
      </c>
      <c r="E286" s="5">
        <f>IF(A286="","",MAX(0,Config!$B$3-C286))</f>
        <v/>
      </c>
      <c r="F286" s="5">
        <f>IF(A286="","",IF(COUNTIFS(Pedidos!$B$2:$B$501,A286,Pedidos!$D$2:$D$501,"Canje llavero")&gt;0,"Sí","No"))</f>
        <v/>
      </c>
      <c r="G286" s="5">
        <f>IF(A286="","",IF(COUNTIFS(Pedidos!$B$2:$B$501,A286,Pedidos!$D$2:$D$501,"Canje cápsula")&gt;0,"Sí","No"))</f>
        <v/>
      </c>
      <c r="H286" s="5">
        <f>IF(A286="","",IF(AND(C286&gt;=Config!$B$3,G286="No"),"¡Le toca abrir la cápsula!",IF(AND(C286&gt;=Config!$B$2,F286="No"),"¡Le toca llavero con nombre!",IF(C286&lt;Config!$B$2,"Faltan "&amp;D286&amp;" para el llavero","Faltan "&amp;E286&amp;" para la cápsula"))))</f>
        <v/>
      </c>
    </row>
    <row r="287">
      <c r="A287" s="11" t="n"/>
      <c r="B287" s="5">
        <f>IF(A287="","",IFERROR(INDEX(Pedidos!$C$2:$C$501,MATCH(A287,Pedidos!$B$2:$B$501,0)),""))</f>
        <v/>
      </c>
      <c r="C287" s="5">
        <f>IF(A287="","",SUMIFS(Pedidos!$J$2:$J$501,Pedidos!$B$2:$B$501,A287))</f>
        <v/>
      </c>
      <c r="D287" s="5">
        <f>IF(A287="","",MAX(0,Config!$B$2-C287))</f>
        <v/>
      </c>
      <c r="E287" s="5">
        <f>IF(A287="","",MAX(0,Config!$B$3-C287))</f>
        <v/>
      </c>
      <c r="F287" s="5">
        <f>IF(A287="","",IF(COUNTIFS(Pedidos!$B$2:$B$501,A287,Pedidos!$D$2:$D$501,"Canje llavero")&gt;0,"Sí","No"))</f>
        <v/>
      </c>
      <c r="G287" s="5">
        <f>IF(A287="","",IF(COUNTIFS(Pedidos!$B$2:$B$501,A287,Pedidos!$D$2:$D$501,"Canje cápsula")&gt;0,"Sí","No"))</f>
        <v/>
      </c>
      <c r="H287" s="5">
        <f>IF(A287="","",IF(AND(C287&gt;=Config!$B$3,G287="No"),"¡Le toca abrir la cápsula!",IF(AND(C287&gt;=Config!$B$2,F287="No"),"¡Le toca llavero con nombre!",IF(C287&lt;Config!$B$2,"Faltan "&amp;D287&amp;" para el llavero","Faltan "&amp;E287&amp;" para la cápsula"))))</f>
        <v/>
      </c>
    </row>
    <row r="288">
      <c r="A288" s="11" t="n"/>
      <c r="B288" s="5">
        <f>IF(A288="","",IFERROR(INDEX(Pedidos!$C$2:$C$501,MATCH(A288,Pedidos!$B$2:$B$501,0)),""))</f>
        <v/>
      </c>
      <c r="C288" s="5">
        <f>IF(A288="","",SUMIFS(Pedidos!$J$2:$J$501,Pedidos!$B$2:$B$501,A288))</f>
        <v/>
      </c>
      <c r="D288" s="5">
        <f>IF(A288="","",MAX(0,Config!$B$2-C288))</f>
        <v/>
      </c>
      <c r="E288" s="5">
        <f>IF(A288="","",MAX(0,Config!$B$3-C288))</f>
        <v/>
      </c>
      <c r="F288" s="5">
        <f>IF(A288="","",IF(COUNTIFS(Pedidos!$B$2:$B$501,A288,Pedidos!$D$2:$D$501,"Canje llavero")&gt;0,"Sí","No"))</f>
        <v/>
      </c>
      <c r="G288" s="5">
        <f>IF(A288="","",IF(COUNTIFS(Pedidos!$B$2:$B$501,A288,Pedidos!$D$2:$D$501,"Canje cápsula")&gt;0,"Sí","No"))</f>
        <v/>
      </c>
      <c r="H288" s="5">
        <f>IF(A288="","",IF(AND(C288&gt;=Config!$B$3,G288="No"),"¡Le toca abrir la cápsula!",IF(AND(C288&gt;=Config!$B$2,F288="No"),"¡Le toca llavero con nombre!",IF(C288&lt;Config!$B$2,"Faltan "&amp;D288&amp;" para el llavero","Faltan "&amp;E288&amp;" para la cápsula"))))</f>
        <v/>
      </c>
    </row>
    <row r="289">
      <c r="A289" s="11" t="n"/>
      <c r="B289" s="5">
        <f>IF(A289="","",IFERROR(INDEX(Pedidos!$C$2:$C$501,MATCH(A289,Pedidos!$B$2:$B$501,0)),""))</f>
        <v/>
      </c>
      <c r="C289" s="5">
        <f>IF(A289="","",SUMIFS(Pedidos!$J$2:$J$501,Pedidos!$B$2:$B$501,A289))</f>
        <v/>
      </c>
      <c r="D289" s="5">
        <f>IF(A289="","",MAX(0,Config!$B$2-C289))</f>
        <v/>
      </c>
      <c r="E289" s="5">
        <f>IF(A289="","",MAX(0,Config!$B$3-C289))</f>
        <v/>
      </c>
      <c r="F289" s="5">
        <f>IF(A289="","",IF(COUNTIFS(Pedidos!$B$2:$B$501,A289,Pedidos!$D$2:$D$501,"Canje llavero")&gt;0,"Sí","No"))</f>
        <v/>
      </c>
      <c r="G289" s="5">
        <f>IF(A289="","",IF(COUNTIFS(Pedidos!$B$2:$B$501,A289,Pedidos!$D$2:$D$501,"Canje cápsula")&gt;0,"Sí","No"))</f>
        <v/>
      </c>
      <c r="H289" s="5">
        <f>IF(A289="","",IF(AND(C289&gt;=Config!$B$3,G289="No"),"¡Le toca abrir la cápsula!",IF(AND(C289&gt;=Config!$B$2,F289="No"),"¡Le toca llavero con nombre!",IF(C289&lt;Config!$B$2,"Faltan "&amp;D289&amp;" para el llavero","Faltan "&amp;E289&amp;" para la cápsula"))))</f>
        <v/>
      </c>
    </row>
    <row r="290">
      <c r="A290" s="11" t="n"/>
      <c r="B290" s="5">
        <f>IF(A290="","",IFERROR(INDEX(Pedidos!$C$2:$C$501,MATCH(A290,Pedidos!$B$2:$B$501,0)),""))</f>
        <v/>
      </c>
      <c r="C290" s="5">
        <f>IF(A290="","",SUMIFS(Pedidos!$J$2:$J$501,Pedidos!$B$2:$B$501,A290))</f>
        <v/>
      </c>
      <c r="D290" s="5">
        <f>IF(A290="","",MAX(0,Config!$B$2-C290))</f>
        <v/>
      </c>
      <c r="E290" s="5">
        <f>IF(A290="","",MAX(0,Config!$B$3-C290))</f>
        <v/>
      </c>
      <c r="F290" s="5">
        <f>IF(A290="","",IF(COUNTIFS(Pedidos!$B$2:$B$501,A290,Pedidos!$D$2:$D$501,"Canje llavero")&gt;0,"Sí","No"))</f>
        <v/>
      </c>
      <c r="G290" s="5">
        <f>IF(A290="","",IF(COUNTIFS(Pedidos!$B$2:$B$501,A290,Pedidos!$D$2:$D$501,"Canje cápsula")&gt;0,"Sí","No"))</f>
        <v/>
      </c>
      <c r="H290" s="5">
        <f>IF(A290="","",IF(AND(C290&gt;=Config!$B$3,G290="No"),"¡Le toca abrir la cápsula!",IF(AND(C290&gt;=Config!$B$2,F290="No"),"¡Le toca llavero con nombre!",IF(C290&lt;Config!$B$2,"Faltan "&amp;D290&amp;" para el llavero","Faltan "&amp;E290&amp;" para la cápsula"))))</f>
        <v/>
      </c>
    </row>
    <row r="291">
      <c r="A291" s="11" t="n"/>
      <c r="B291" s="5">
        <f>IF(A291="","",IFERROR(INDEX(Pedidos!$C$2:$C$501,MATCH(A291,Pedidos!$B$2:$B$501,0)),""))</f>
        <v/>
      </c>
      <c r="C291" s="5">
        <f>IF(A291="","",SUMIFS(Pedidos!$J$2:$J$501,Pedidos!$B$2:$B$501,A291))</f>
        <v/>
      </c>
      <c r="D291" s="5">
        <f>IF(A291="","",MAX(0,Config!$B$2-C291))</f>
        <v/>
      </c>
      <c r="E291" s="5">
        <f>IF(A291="","",MAX(0,Config!$B$3-C291))</f>
        <v/>
      </c>
      <c r="F291" s="5">
        <f>IF(A291="","",IF(COUNTIFS(Pedidos!$B$2:$B$501,A291,Pedidos!$D$2:$D$501,"Canje llavero")&gt;0,"Sí","No"))</f>
        <v/>
      </c>
      <c r="G291" s="5">
        <f>IF(A291="","",IF(COUNTIFS(Pedidos!$B$2:$B$501,A291,Pedidos!$D$2:$D$501,"Canje cápsula")&gt;0,"Sí","No"))</f>
        <v/>
      </c>
      <c r="H291" s="5">
        <f>IF(A291="","",IF(AND(C291&gt;=Config!$B$3,G291="No"),"¡Le toca abrir la cápsula!",IF(AND(C291&gt;=Config!$B$2,F291="No"),"¡Le toca llavero con nombre!",IF(C291&lt;Config!$B$2,"Faltan "&amp;D291&amp;" para el llavero","Faltan "&amp;E291&amp;" para la cápsula"))))</f>
        <v/>
      </c>
    </row>
    <row r="292">
      <c r="A292" s="11" t="n"/>
      <c r="B292" s="5">
        <f>IF(A292="","",IFERROR(INDEX(Pedidos!$C$2:$C$501,MATCH(A292,Pedidos!$B$2:$B$501,0)),""))</f>
        <v/>
      </c>
      <c r="C292" s="5">
        <f>IF(A292="","",SUMIFS(Pedidos!$J$2:$J$501,Pedidos!$B$2:$B$501,A292))</f>
        <v/>
      </c>
      <c r="D292" s="5">
        <f>IF(A292="","",MAX(0,Config!$B$2-C292))</f>
        <v/>
      </c>
      <c r="E292" s="5">
        <f>IF(A292="","",MAX(0,Config!$B$3-C292))</f>
        <v/>
      </c>
      <c r="F292" s="5">
        <f>IF(A292="","",IF(COUNTIFS(Pedidos!$B$2:$B$501,A292,Pedidos!$D$2:$D$501,"Canje llavero")&gt;0,"Sí","No"))</f>
        <v/>
      </c>
      <c r="G292" s="5">
        <f>IF(A292="","",IF(COUNTIFS(Pedidos!$B$2:$B$501,A292,Pedidos!$D$2:$D$501,"Canje cápsula")&gt;0,"Sí","No"))</f>
        <v/>
      </c>
      <c r="H292" s="5">
        <f>IF(A292="","",IF(AND(C292&gt;=Config!$B$3,G292="No"),"¡Le toca abrir la cápsula!",IF(AND(C292&gt;=Config!$B$2,F292="No"),"¡Le toca llavero con nombre!",IF(C292&lt;Config!$B$2,"Faltan "&amp;D292&amp;" para el llavero","Faltan "&amp;E292&amp;" para la cápsula"))))</f>
        <v/>
      </c>
    </row>
    <row r="293">
      <c r="A293" s="11" t="n"/>
      <c r="B293" s="5">
        <f>IF(A293="","",IFERROR(INDEX(Pedidos!$C$2:$C$501,MATCH(A293,Pedidos!$B$2:$B$501,0)),""))</f>
        <v/>
      </c>
      <c r="C293" s="5">
        <f>IF(A293="","",SUMIFS(Pedidos!$J$2:$J$501,Pedidos!$B$2:$B$501,A293))</f>
        <v/>
      </c>
      <c r="D293" s="5">
        <f>IF(A293="","",MAX(0,Config!$B$2-C293))</f>
        <v/>
      </c>
      <c r="E293" s="5">
        <f>IF(A293="","",MAX(0,Config!$B$3-C293))</f>
        <v/>
      </c>
      <c r="F293" s="5">
        <f>IF(A293="","",IF(COUNTIFS(Pedidos!$B$2:$B$501,A293,Pedidos!$D$2:$D$501,"Canje llavero")&gt;0,"Sí","No"))</f>
        <v/>
      </c>
      <c r="G293" s="5">
        <f>IF(A293="","",IF(COUNTIFS(Pedidos!$B$2:$B$501,A293,Pedidos!$D$2:$D$501,"Canje cápsula")&gt;0,"Sí","No"))</f>
        <v/>
      </c>
      <c r="H293" s="5">
        <f>IF(A293="","",IF(AND(C293&gt;=Config!$B$3,G293="No"),"¡Le toca abrir la cápsula!",IF(AND(C293&gt;=Config!$B$2,F293="No"),"¡Le toca llavero con nombre!",IF(C293&lt;Config!$B$2,"Faltan "&amp;D293&amp;" para el llavero","Faltan "&amp;E293&amp;" para la cápsula"))))</f>
        <v/>
      </c>
    </row>
    <row r="294">
      <c r="A294" s="11" t="n"/>
      <c r="B294" s="5">
        <f>IF(A294="","",IFERROR(INDEX(Pedidos!$C$2:$C$501,MATCH(A294,Pedidos!$B$2:$B$501,0)),""))</f>
        <v/>
      </c>
      <c r="C294" s="5">
        <f>IF(A294="","",SUMIFS(Pedidos!$J$2:$J$501,Pedidos!$B$2:$B$501,A294))</f>
        <v/>
      </c>
      <c r="D294" s="5">
        <f>IF(A294="","",MAX(0,Config!$B$2-C294))</f>
        <v/>
      </c>
      <c r="E294" s="5">
        <f>IF(A294="","",MAX(0,Config!$B$3-C294))</f>
        <v/>
      </c>
      <c r="F294" s="5">
        <f>IF(A294="","",IF(COUNTIFS(Pedidos!$B$2:$B$501,A294,Pedidos!$D$2:$D$501,"Canje llavero")&gt;0,"Sí","No"))</f>
        <v/>
      </c>
      <c r="G294" s="5">
        <f>IF(A294="","",IF(COUNTIFS(Pedidos!$B$2:$B$501,A294,Pedidos!$D$2:$D$501,"Canje cápsula")&gt;0,"Sí","No"))</f>
        <v/>
      </c>
      <c r="H294" s="5">
        <f>IF(A294="","",IF(AND(C294&gt;=Config!$B$3,G294="No"),"¡Le toca abrir la cápsula!",IF(AND(C294&gt;=Config!$B$2,F294="No"),"¡Le toca llavero con nombre!",IF(C294&lt;Config!$B$2,"Faltan "&amp;D294&amp;" para el llavero","Faltan "&amp;E294&amp;" para la cápsula"))))</f>
        <v/>
      </c>
    </row>
    <row r="295">
      <c r="A295" s="11" t="n"/>
      <c r="B295" s="5">
        <f>IF(A295="","",IFERROR(INDEX(Pedidos!$C$2:$C$501,MATCH(A295,Pedidos!$B$2:$B$501,0)),""))</f>
        <v/>
      </c>
      <c r="C295" s="5">
        <f>IF(A295="","",SUMIFS(Pedidos!$J$2:$J$501,Pedidos!$B$2:$B$501,A295))</f>
        <v/>
      </c>
      <c r="D295" s="5">
        <f>IF(A295="","",MAX(0,Config!$B$2-C295))</f>
        <v/>
      </c>
      <c r="E295" s="5">
        <f>IF(A295="","",MAX(0,Config!$B$3-C295))</f>
        <v/>
      </c>
      <c r="F295" s="5">
        <f>IF(A295="","",IF(COUNTIFS(Pedidos!$B$2:$B$501,A295,Pedidos!$D$2:$D$501,"Canje llavero")&gt;0,"Sí","No"))</f>
        <v/>
      </c>
      <c r="G295" s="5">
        <f>IF(A295="","",IF(COUNTIFS(Pedidos!$B$2:$B$501,A295,Pedidos!$D$2:$D$501,"Canje cápsula")&gt;0,"Sí","No"))</f>
        <v/>
      </c>
      <c r="H295" s="5">
        <f>IF(A295="","",IF(AND(C295&gt;=Config!$B$3,G295="No"),"¡Le toca abrir la cápsula!",IF(AND(C295&gt;=Config!$B$2,F295="No"),"¡Le toca llavero con nombre!",IF(C295&lt;Config!$B$2,"Faltan "&amp;D295&amp;" para el llavero","Faltan "&amp;E295&amp;" para la cápsula"))))</f>
        <v/>
      </c>
    </row>
    <row r="296">
      <c r="A296" s="11" t="n"/>
      <c r="B296" s="5">
        <f>IF(A296="","",IFERROR(INDEX(Pedidos!$C$2:$C$501,MATCH(A296,Pedidos!$B$2:$B$501,0)),""))</f>
        <v/>
      </c>
      <c r="C296" s="5">
        <f>IF(A296="","",SUMIFS(Pedidos!$J$2:$J$501,Pedidos!$B$2:$B$501,A296))</f>
        <v/>
      </c>
      <c r="D296" s="5">
        <f>IF(A296="","",MAX(0,Config!$B$2-C296))</f>
        <v/>
      </c>
      <c r="E296" s="5">
        <f>IF(A296="","",MAX(0,Config!$B$3-C296))</f>
        <v/>
      </c>
      <c r="F296" s="5">
        <f>IF(A296="","",IF(COUNTIFS(Pedidos!$B$2:$B$501,A296,Pedidos!$D$2:$D$501,"Canje llavero")&gt;0,"Sí","No"))</f>
        <v/>
      </c>
      <c r="G296" s="5">
        <f>IF(A296="","",IF(COUNTIFS(Pedidos!$B$2:$B$501,A296,Pedidos!$D$2:$D$501,"Canje cápsula")&gt;0,"Sí","No"))</f>
        <v/>
      </c>
      <c r="H296" s="5">
        <f>IF(A296="","",IF(AND(C296&gt;=Config!$B$3,G296="No"),"¡Le toca abrir la cápsula!",IF(AND(C296&gt;=Config!$B$2,F296="No"),"¡Le toca llavero con nombre!",IF(C296&lt;Config!$B$2,"Faltan "&amp;D296&amp;" para el llavero","Faltan "&amp;E296&amp;" para la cápsula"))))</f>
        <v/>
      </c>
    </row>
    <row r="297">
      <c r="A297" s="11" t="n"/>
      <c r="B297" s="5">
        <f>IF(A297="","",IFERROR(INDEX(Pedidos!$C$2:$C$501,MATCH(A297,Pedidos!$B$2:$B$501,0)),""))</f>
        <v/>
      </c>
      <c r="C297" s="5">
        <f>IF(A297="","",SUMIFS(Pedidos!$J$2:$J$501,Pedidos!$B$2:$B$501,A297))</f>
        <v/>
      </c>
      <c r="D297" s="5">
        <f>IF(A297="","",MAX(0,Config!$B$2-C297))</f>
        <v/>
      </c>
      <c r="E297" s="5">
        <f>IF(A297="","",MAX(0,Config!$B$3-C297))</f>
        <v/>
      </c>
      <c r="F297" s="5">
        <f>IF(A297="","",IF(COUNTIFS(Pedidos!$B$2:$B$501,A297,Pedidos!$D$2:$D$501,"Canje llavero")&gt;0,"Sí","No"))</f>
        <v/>
      </c>
      <c r="G297" s="5">
        <f>IF(A297="","",IF(COUNTIFS(Pedidos!$B$2:$B$501,A297,Pedidos!$D$2:$D$501,"Canje cápsula")&gt;0,"Sí","No"))</f>
        <v/>
      </c>
      <c r="H297" s="5">
        <f>IF(A297="","",IF(AND(C297&gt;=Config!$B$3,G297="No"),"¡Le toca abrir la cápsula!",IF(AND(C297&gt;=Config!$B$2,F297="No"),"¡Le toca llavero con nombre!",IF(C297&lt;Config!$B$2,"Faltan "&amp;D297&amp;" para el llavero","Faltan "&amp;E297&amp;" para la cápsula"))))</f>
        <v/>
      </c>
    </row>
    <row r="298">
      <c r="A298" s="11" t="n"/>
      <c r="B298" s="5">
        <f>IF(A298="","",IFERROR(INDEX(Pedidos!$C$2:$C$501,MATCH(A298,Pedidos!$B$2:$B$501,0)),""))</f>
        <v/>
      </c>
      <c r="C298" s="5">
        <f>IF(A298="","",SUMIFS(Pedidos!$J$2:$J$501,Pedidos!$B$2:$B$501,A298))</f>
        <v/>
      </c>
      <c r="D298" s="5">
        <f>IF(A298="","",MAX(0,Config!$B$2-C298))</f>
        <v/>
      </c>
      <c r="E298" s="5">
        <f>IF(A298="","",MAX(0,Config!$B$3-C298))</f>
        <v/>
      </c>
      <c r="F298" s="5">
        <f>IF(A298="","",IF(COUNTIFS(Pedidos!$B$2:$B$501,A298,Pedidos!$D$2:$D$501,"Canje llavero")&gt;0,"Sí","No"))</f>
        <v/>
      </c>
      <c r="G298" s="5">
        <f>IF(A298="","",IF(COUNTIFS(Pedidos!$B$2:$B$501,A298,Pedidos!$D$2:$D$501,"Canje cápsula")&gt;0,"Sí","No"))</f>
        <v/>
      </c>
      <c r="H298" s="5">
        <f>IF(A298="","",IF(AND(C298&gt;=Config!$B$3,G298="No"),"¡Le toca abrir la cápsula!",IF(AND(C298&gt;=Config!$B$2,F298="No"),"¡Le toca llavero con nombre!",IF(C298&lt;Config!$B$2,"Faltan "&amp;D298&amp;" para el llavero","Faltan "&amp;E298&amp;" para la cápsula"))))</f>
        <v/>
      </c>
    </row>
    <row r="299">
      <c r="A299" s="11" t="n"/>
      <c r="B299" s="5">
        <f>IF(A299="","",IFERROR(INDEX(Pedidos!$C$2:$C$501,MATCH(A299,Pedidos!$B$2:$B$501,0)),""))</f>
        <v/>
      </c>
      <c r="C299" s="5">
        <f>IF(A299="","",SUMIFS(Pedidos!$J$2:$J$501,Pedidos!$B$2:$B$501,A299))</f>
        <v/>
      </c>
      <c r="D299" s="5">
        <f>IF(A299="","",MAX(0,Config!$B$2-C299))</f>
        <v/>
      </c>
      <c r="E299" s="5">
        <f>IF(A299="","",MAX(0,Config!$B$3-C299))</f>
        <v/>
      </c>
      <c r="F299" s="5">
        <f>IF(A299="","",IF(COUNTIFS(Pedidos!$B$2:$B$501,A299,Pedidos!$D$2:$D$501,"Canje llavero")&gt;0,"Sí","No"))</f>
        <v/>
      </c>
      <c r="G299" s="5">
        <f>IF(A299="","",IF(COUNTIFS(Pedidos!$B$2:$B$501,A299,Pedidos!$D$2:$D$501,"Canje cápsula")&gt;0,"Sí","No"))</f>
        <v/>
      </c>
      <c r="H299" s="5">
        <f>IF(A299="","",IF(AND(C299&gt;=Config!$B$3,G299="No"),"¡Le toca abrir la cápsula!",IF(AND(C299&gt;=Config!$B$2,F299="No"),"¡Le toca llavero con nombre!",IF(C299&lt;Config!$B$2,"Faltan "&amp;D299&amp;" para el llavero","Faltan "&amp;E299&amp;" para la cápsula"))))</f>
        <v/>
      </c>
    </row>
    <row r="300">
      <c r="A300" s="11" t="n"/>
      <c r="B300" s="5">
        <f>IF(A300="","",IFERROR(INDEX(Pedidos!$C$2:$C$501,MATCH(A300,Pedidos!$B$2:$B$501,0)),""))</f>
        <v/>
      </c>
      <c r="C300" s="5">
        <f>IF(A300="","",SUMIFS(Pedidos!$J$2:$J$501,Pedidos!$B$2:$B$501,A300))</f>
        <v/>
      </c>
      <c r="D300" s="5">
        <f>IF(A300="","",MAX(0,Config!$B$2-C300))</f>
        <v/>
      </c>
      <c r="E300" s="5">
        <f>IF(A300="","",MAX(0,Config!$B$3-C300))</f>
        <v/>
      </c>
      <c r="F300" s="5">
        <f>IF(A300="","",IF(COUNTIFS(Pedidos!$B$2:$B$501,A300,Pedidos!$D$2:$D$501,"Canje llavero")&gt;0,"Sí","No"))</f>
        <v/>
      </c>
      <c r="G300" s="5">
        <f>IF(A300="","",IF(COUNTIFS(Pedidos!$B$2:$B$501,A300,Pedidos!$D$2:$D$501,"Canje cápsula")&gt;0,"Sí","No"))</f>
        <v/>
      </c>
      <c r="H300" s="5">
        <f>IF(A300="","",IF(AND(C300&gt;=Config!$B$3,G300="No"),"¡Le toca abrir la cápsula!",IF(AND(C300&gt;=Config!$B$2,F300="No"),"¡Le toca llavero con nombre!",IF(C300&lt;Config!$B$2,"Faltan "&amp;D300&amp;" para el llavero","Faltan "&amp;E300&amp;" para la cápsula"))))</f>
        <v/>
      </c>
    </row>
    <row r="301">
      <c r="A301" s="11" t="n"/>
      <c r="B301" s="5">
        <f>IF(A301="","",IFERROR(INDEX(Pedidos!$C$2:$C$501,MATCH(A301,Pedidos!$B$2:$B$501,0)),""))</f>
        <v/>
      </c>
      <c r="C301" s="5">
        <f>IF(A301="","",SUMIFS(Pedidos!$J$2:$J$501,Pedidos!$B$2:$B$501,A301))</f>
        <v/>
      </c>
      <c r="D301" s="5">
        <f>IF(A301="","",MAX(0,Config!$B$2-C301))</f>
        <v/>
      </c>
      <c r="E301" s="5">
        <f>IF(A301="","",MAX(0,Config!$B$3-C301))</f>
        <v/>
      </c>
      <c r="F301" s="5">
        <f>IF(A301="","",IF(COUNTIFS(Pedidos!$B$2:$B$501,A301,Pedidos!$D$2:$D$501,"Canje llavero")&gt;0,"Sí","No"))</f>
        <v/>
      </c>
      <c r="G301" s="5">
        <f>IF(A301="","",IF(COUNTIFS(Pedidos!$B$2:$B$501,A301,Pedidos!$D$2:$D$501,"Canje cápsula")&gt;0,"Sí","No"))</f>
        <v/>
      </c>
      <c r="H301" s="5">
        <f>IF(A301="","",IF(AND(C301&gt;=Config!$B$3,G301="No"),"¡Le toca abrir la cápsula!",IF(AND(C301&gt;=Config!$B$2,F301="No"),"¡Le toca llavero con nombre!",IF(C301&lt;Config!$B$2,"Faltan "&amp;D301&amp;" para el llavero","Faltan "&amp;E301&amp;" para la cápsula"))))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6" t="inlineStr">
        <is>
          <t>Resumen</t>
        </is>
      </c>
    </row>
    <row r="2">
      <c r="A2" s="7" t="inlineStr">
        <is>
          <t>Pedidos registrados (ventas)</t>
        </is>
      </c>
      <c r="B2" s="10">
        <f>COUNTIF(Pedidos!D2:D501,"Venta")</f>
        <v/>
      </c>
    </row>
    <row r="3">
      <c r="A3" s="7" t="inlineStr">
        <is>
          <t>Piezas vendidas</t>
        </is>
      </c>
      <c r="B3" s="10">
        <f>SUMIFS(Pedidos!F2:F501,Pedidos!D2:D501,"Venta")</f>
        <v/>
      </c>
    </row>
    <row r="4">
      <c r="A4" s="7" t="inlineStr">
        <is>
          <t>Total vendido ($)</t>
        </is>
      </c>
      <c r="B4" s="12">
        <f>SUMIFS(Pedidos!G2:G501,Pedidos!D2:D501,"Venta")</f>
        <v/>
      </c>
    </row>
    <row r="5">
      <c r="A5" s="7" t="inlineStr">
        <is>
          <t>Pedidos desde la página</t>
        </is>
      </c>
      <c r="B5" s="10">
        <f>COUNTIFS(Pedidos!D2:D501,"Venta",Pedidos!I2:I501,"Página")</f>
        <v/>
      </c>
    </row>
    <row r="6">
      <c r="A6" s="7" t="inlineStr">
        <is>
          <t>Llaveros con nombre regalados</t>
        </is>
      </c>
      <c r="B6" s="10">
        <f>COUNTIF(Pedidos!D2:D501,"Canje llavero")</f>
        <v/>
      </c>
    </row>
    <row r="7">
      <c r="A7" s="7" t="inlineStr">
        <is>
          <t>Cápsulas abiertas</t>
        </is>
      </c>
      <c r="B7" s="10">
        <f>COUNTIF(Pedidos!D2:D501,"Canje cápsula")</f>
        <v/>
      </c>
    </row>
    <row r="8">
      <c r="A8" s="7" t="inlineStr">
        <is>
          <t>Clientes a los que ya les toca premio</t>
        </is>
      </c>
      <c r="B8" s="10">
        <f>COUNTIF(Sellos!H2:H301,"¡Le toca*")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2026-09-26T19:18:56Z</dcterms:created>
  <dcterms:modified xsi:type="dcterms:W3CDTF">2026-09-26T19:18:57Z</dcterms:modified>
</cp:coreProperties>
</file>